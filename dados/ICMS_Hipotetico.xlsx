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h\Downloads\"/>
    </mc:Choice>
  </mc:AlternateContent>
  <xr:revisionPtr revIDLastSave="0" documentId="13_ncr:1_{DEF33DE0-8B79-4BA7-B3CF-525307202C50}" xr6:coauthVersionLast="47" xr6:coauthVersionMax="47" xr10:uidLastSave="{00000000-0000-0000-0000-000000000000}"/>
  <bookViews>
    <workbookView xWindow="-108" yWindow="-108" windowWidth="23256" windowHeight="12456" activeTab="1" xr2:uid="{2E1FBF1C-A30D-4840-B07A-61AAF03528DE}"/>
  </bookViews>
  <sheets>
    <sheet name="ICMS" sheetId="1" r:id="rId1"/>
    <sheet name="xtot" sheetId="2" r:id="rId2"/>
    <sheet name="Make" sheetId="4" r:id="rId3"/>
    <sheet name="Share_Make " sheetId="5" r:id="rId4"/>
    <sheet name="ICMS_Micro" sheetId="6" r:id="rId5"/>
    <sheet name="Impacto_Imposto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P9" i="7" l="1" a="1"/>
  <c r="C2" i="7" a="1"/>
  <c r="C2" i="7" s="1"/>
  <c r="D2" i="7" a="1"/>
  <c r="D2" i="7"/>
  <c r="E2" i="7" a="1"/>
  <c r="E2" i="7" s="1"/>
  <c r="F2" i="7" a="1"/>
  <c r="F2" i="7"/>
  <c r="G2" i="7" a="1"/>
  <c r="G2" i="7"/>
  <c r="H2" i="7" a="1"/>
  <c r="H2" i="7"/>
  <c r="I2" i="7" a="1"/>
  <c r="I2" i="7" s="1"/>
  <c r="J2" i="7" a="1"/>
  <c r="J2" i="7"/>
  <c r="K2" i="7" a="1"/>
  <c r="K2" i="7"/>
  <c r="L2" i="7" a="1"/>
  <c r="L2" i="7"/>
  <c r="M2" i="7" a="1"/>
  <c r="M2" i="7"/>
  <c r="N2" i="7" a="1"/>
  <c r="N2" i="7"/>
  <c r="O2" i="7" a="1"/>
  <c r="O2" i="7" s="1"/>
  <c r="P2" i="7" a="1"/>
  <c r="P2" i="7"/>
  <c r="Q2" i="7" a="1"/>
  <c r="Q2" i="7"/>
  <c r="R2" i="7" a="1"/>
  <c r="R2" i="7" s="1"/>
  <c r="S2" i="7" a="1"/>
  <c r="S2" i="7"/>
  <c r="T2" i="7" a="1"/>
  <c r="T2" i="7"/>
  <c r="U2" i="7" a="1"/>
  <c r="U2" i="7" s="1"/>
  <c r="V2" i="7" a="1"/>
  <c r="V2" i="7"/>
  <c r="W2" i="7" a="1"/>
  <c r="W2" i="7"/>
  <c r="X2" i="7" a="1"/>
  <c r="X2" i="7"/>
  <c r="Y2" i="7" a="1"/>
  <c r="Y2" i="7"/>
  <c r="Z2" i="7" a="1"/>
  <c r="Z2" i="7"/>
  <c r="AA2" i="7" a="1"/>
  <c r="AA2" i="7" s="1"/>
  <c r="AB2" i="7" a="1"/>
  <c r="AB2" i="7"/>
  <c r="AC2" i="7" a="1"/>
  <c r="AC2" i="7"/>
  <c r="AD2" i="7" a="1"/>
  <c r="AD2" i="7"/>
  <c r="AE2" i="7" a="1"/>
  <c r="AE2" i="7" s="1"/>
  <c r="AF2" i="7" a="1"/>
  <c r="AF2" i="7"/>
  <c r="AG2" i="7" a="1"/>
  <c r="AG2" i="7" s="1"/>
  <c r="AH2" i="7" a="1"/>
  <c r="AH2" i="7"/>
  <c r="AI2" i="7" a="1"/>
  <c r="AI2" i="7"/>
  <c r="AJ2" i="7" a="1"/>
  <c r="AJ2" i="7"/>
  <c r="AK2" i="7" a="1"/>
  <c r="AK2" i="7"/>
  <c r="AL2" i="7" a="1"/>
  <c r="AL2" i="7"/>
  <c r="AM2" i="7" a="1"/>
  <c r="AM2" i="7" s="1"/>
  <c r="AN2" i="7" a="1"/>
  <c r="AN2" i="7"/>
  <c r="AO2" i="7" a="1"/>
  <c r="AO2" i="7"/>
  <c r="AP2" i="7" a="1"/>
  <c r="AP2" i="7"/>
  <c r="AQ2" i="7" a="1"/>
  <c r="AQ2" i="7"/>
  <c r="AR2" i="7" a="1"/>
  <c r="AR2" i="7" s="1"/>
  <c r="AS2" i="7" a="1"/>
  <c r="AS2" i="7" s="1"/>
  <c r="AT2" i="7" a="1"/>
  <c r="AT2" i="7"/>
  <c r="AU2" i="7" a="1"/>
  <c r="AU2" i="7"/>
  <c r="AV2" i="7" a="1"/>
  <c r="AV2" i="7"/>
  <c r="AW2" i="7" a="1"/>
  <c r="AW2" i="7"/>
  <c r="AX2" i="7" a="1"/>
  <c r="AX2" i="7"/>
  <c r="AY2" i="7" a="1"/>
  <c r="AY2" i="7" s="1"/>
  <c r="AZ2" i="7" a="1"/>
  <c r="AZ2" i="7"/>
  <c r="BA2" i="7" a="1"/>
  <c r="BA2" i="7"/>
  <c r="BB2" i="7" a="1"/>
  <c r="BB2" i="7"/>
  <c r="BC2" i="7" a="1"/>
  <c r="BC2" i="7"/>
  <c r="BD2" i="7" a="1"/>
  <c r="BD2" i="7"/>
  <c r="BE2" i="7" a="1"/>
  <c r="BE2" i="7" s="1"/>
  <c r="BF2" i="7" a="1"/>
  <c r="BF2" i="7"/>
  <c r="BG2" i="7" a="1"/>
  <c r="BG2" i="7"/>
  <c r="BH2" i="7" a="1"/>
  <c r="BH2" i="7"/>
  <c r="BI2" i="7" a="1"/>
  <c r="BI2" i="7"/>
  <c r="BJ2" i="7" a="1"/>
  <c r="BJ2" i="7"/>
  <c r="BK2" i="7" a="1"/>
  <c r="BK2" i="7" s="1"/>
  <c r="BL2" i="7" a="1"/>
  <c r="BL2" i="7" s="1"/>
  <c r="BM2" i="7" a="1"/>
  <c r="BM2" i="7"/>
  <c r="BN2" i="7" a="1"/>
  <c r="BN2" i="7"/>
  <c r="BO2" i="7" a="1"/>
  <c r="BO2" i="7"/>
  <c r="C3" i="7" a="1"/>
  <c r="C3" i="7"/>
  <c r="D3" i="7" a="1"/>
  <c r="D3" i="7" s="1"/>
  <c r="E3" i="7" a="1"/>
  <c r="E3" i="7"/>
  <c r="F3" i="7" a="1"/>
  <c r="F3" i="7"/>
  <c r="G3" i="7" a="1"/>
  <c r="G3" i="7"/>
  <c r="H3" i="7" a="1"/>
  <c r="H3" i="7"/>
  <c r="I3" i="7" a="1"/>
  <c r="I3" i="7"/>
  <c r="J3" i="7" a="1"/>
  <c r="J3" i="7" s="1"/>
  <c r="K3" i="7" a="1"/>
  <c r="K3" i="7"/>
  <c r="L3" i="7" a="1"/>
  <c r="L3" i="7" s="1"/>
  <c r="M3" i="7" a="1"/>
  <c r="M3" i="7"/>
  <c r="N3" i="7" a="1"/>
  <c r="N3" i="7"/>
  <c r="O3" i="7" a="1"/>
  <c r="O3" i="7"/>
  <c r="P3" i="7" a="1"/>
  <c r="P3" i="7" s="1"/>
  <c r="Q3" i="7" a="1"/>
  <c r="Q3" i="7"/>
  <c r="R3" i="7" a="1"/>
  <c r="R3" i="7"/>
  <c r="S3" i="7" a="1"/>
  <c r="S3" i="7"/>
  <c r="T3" i="7" a="1"/>
  <c r="T3" i="7"/>
  <c r="U3" i="7" a="1"/>
  <c r="U3" i="7"/>
  <c r="V3" i="7" a="1"/>
  <c r="V3" i="7" s="1"/>
  <c r="W3" i="7" a="1"/>
  <c r="W3" i="7"/>
  <c r="X3" i="7" a="1"/>
  <c r="X3" i="7"/>
  <c r="Y3" i="7" a="1"/>
  <c r="Y3" i="7" s="1"/>
  <c r="Z3" i="7" a="1"/>
  <c r="Z3" i="7"/>
  <c r="AA3" i="7" a="1"/>
  <c r="AA3" i="7"/>
  <c r="AB3" i="7" a="1"/>
  <c r="AB3" i="7" s="1"/>
  <c r="AC3" i="7" a="1"/>
  <c r="AC3" i="7"/>
  <c r="AD3" i="7" a="1"/>
  <c r="AD3" i="7"/>
  <c r="AE3" i="7" a="1"/>
  <c r="AE3" i="7"/>
  <c r="AF3" i="7" a="1"/>
  <c r="AF3" i="7"/>
  <c r="AG3" i="7" a="1"/>
  <c r="AG3" i="7"/>
  <c r="AH3" i="7" a="1"/>
  <c r="AH3" i="7" s="1"/>
  <c r="AI3" i="7" a="1"/>
  <c r="AI3" i="7"/>
  <c r="AJ3" i="7" a="1"/>
  <c r="AJ3" i="7"/>
  <c r="AK3" i="7" a="1"/>
  <c r="AK3" i="7"/>
  <c r="AL3" i="7" a="1"/>
  <c r="AL3" i="7" s="1"/>
  <c r="AM3" i="7" a="1"/>
  <c r="AM3" i="7"/>
  <c r="AN3" i="7" a="1"/>
  <c r="AN3" i="7" s="1"/>
  <c r="AO3" i="7" a="1"/>
  <c r="AO3" i="7"/>
  <c r="AP3" i="7" a="1"/>
  <c r="AP3" i="7"/>
  <c r="AQ3" i="7" a="1"/>
  <c r="AQ3" i="7"/>
  <c r="AR3" i="7" a="1"/>
  <c r="AR3" i="7"/>
  <c r="AS3" i="7" a="1"/>
  <c r="AS3" i="7"/>
  <c r="AT3" i="7" a="1"/>
  <c r="AT3" i="7" s="1"/>
  <c r="AU3" i="7" a="1"/>
  <c r="AU3" i="7"/>
  <c r="AV3" i="7" a="1"/>
  <c r="AV3" i="7"/>
  <c r="AW3" i="7" a="1"/>
  <c r="AW3" i="7"/>
  <c r="AX3" i="7" a="1"/>
  <c r="AX3" i="7"/>
  <c r="AY3" i="7" a="1"/>
  <c r="AY3" i="7" s="1"/>
  <c r="AZ3" i="7" a="1"/>
  <c r="AZ3" i="7" s="1"/>
  <c r="BA3" i="7" a="1"/>
  <c r="BA3" i="7"/>
  <c r="BB3" i="7" a="1"/>
  <c r="BB3" i="7"/>
  <c r="BC3" i="7" a="1"/>
  <c r="BC3" i="7"/>
  <c r="BD3" i="7" a="1"/>
  <c r="BD3" i="7"/>
  <c r="BE3" i="7" a="1"/>
  <c r="BE3" i="7"/>
  <c r="BF3" i="7" a="1"/>
  <c r="BF3" i="7" s="1"/>
  <c r="BG3" i="7" a="1"/>
  <c r="BG3" i="7"/>
  <c r="BH3" i="7" a="1"/>
  <c r="BH3" i="7"/>
  <c r="BI3" i="7" a="1"/>
  <c r="BI3" i="7"/>
  <c r="BJ3" i="7" a="1"/>
  <c r="BJ3" i="7"/>
  <c r="BK3" i="7" a="1"/>
  <c r="BK3" i="7"/>
  <c r="BL3" i="7" a="1"/>
  <c r="BL3" i="7" s="1"/>
  <c r="BM3" i="7" a="1"/>
  <c r="BM3" i="7"/>
  <c r="BN3" i="7" a="1"/>
  <c r="BN3" i="7"/>
  <c r="BO3" i="7" a="1"/>
  <c r="BO3" i="7"/>
  <c r="C4" i="7" a="1"/>
  <c r="C4" i="7"/>
  <c r="D4" i="7" a="1"/>
  <c r="D4" i="7"/>
  <c r="E4" i="7" a="1"/>
  <c r="E4" i="7" s="1"/>
  <c r="F4" i="7" a="1"/>
  <c r="F4" i="7" s="1"/>
  <c r="G4" i="7" a="1"/>
  <c r="G4" i="7"/>
  <c r="H4" i="7" a="1"/>
  <c r="H4" i="7"/>
  <c r="I4" i="7" a="1"/>
  <c r="I4" i="7"/>
  <c r="J4" i="7" a="1"/>
  <c r="J4" i="7"/>
  <c r="K4" i="7" a="1"/>
  <c r="K4" i="7" s="1"/>
  <c r="L4" i="7" a="1"/>
  <c r="L4" i="7"/>
  <c r="M4" i="7" a="1"/>
  <c r="M4" i="7"/>
  <c r="N4" i="7" a="1"/>
  <c r="N4" i="7"/>
  <c r="O4" i="7" a="1"/>
  <c r="O4" i="7"/>
  <c r="P4" i="7" a="1"/>
  <c r="P4" i="7"/>
  <c r="Q4" i="7" a="1"/>
  <c r="Q4" i="7" s="1"/>
  <c r="R4" i="7" a="1"/>
  <c r="R4" i="7"/>
  <c r="S4" i="7" a="1"/>
  <c r="S4" i="7" s="1"/>
  <c r="T4" i="7" a="1"/>
  <c r="T4" i="7"/>
  <c r="U4" i="7" a="1"/>
  <c r="U4" i="7"/>
  <c r="V4" i="7" a="1"/>
  <c r="V4" i="7"/>
  <c r="W4" i="7" a="1"/>
  <c r="W4" i="7" s="1"/>
  <c r="X4" i="7" a="1"/>
  <c r="X4" i="7"/>
  <c r="Y4" i="7" a="1"/>
  <c r="Y4" i="7"/>
  <c r="Z4" i="7" a="1"/>
  <c r="Z4" i="7"/>
  <c r="AA4" i="7" a="1"/>
  <c r="AA4" i="7"/>
  <c r="AB4" i="7" a="1"/>
  <c r="AB4" i="7"/>
  <c r="AC4" i="7" a="1"/>
  <c r="AC4" i="7" s="1"/>
  <c r="AD4" i="7" a="1"/>
  <c r="AD4" i="7"/>
  <c r="AE4" i="7" a="1"/>
  <c r="AE4" i="7"/>
  <c r="AF4" i="7" a="1"/>
  <c r="AF4" i="7" s="1"/>
  <c r="AG4" i="7" a="1"/>
  <c r="AG4" i="7"/>
  <c r="AH4" i="7" a="1"/>
  <c r="AH4" i="7"/>
  <c r="AI4" i="7" a="1"/>
  <c r="AI4" i="7" s="1"/>
  <c r="AJ4" i="7" a="1"/>
  <c r="AJ4" i="7"/>
  <c r="AK4" i="7" a="1"/>
  <c r="AK4" i="7"/>
  <c r="AL4" i="7" a="1"/>
  <c r="AL4" i="7"/>
  <c r="AM4" i="7" a="1"/>
  <c r="AM4" i="7"/>
  <c r="AN4" i="7" a="1"/>
  <c r="AN4" i="7"/>
  <c r="AO4" i="7" a="1"/>
  <c r="AO4" i="7" s="1"/>
  <c r="AP4" i="7" a="1"/>
  <c r="AP4" i="7"/>
  <c r="AQ4" i="7" a="1"/>
  <c r="AQ4" i="7"/>
  <c r="AR4" i="7" a="1"/>
  <c r="AR4" i="7"/>
  <c r="AS4" i="7" a="1"/>
  <c r="AS4" i="7" s="1"/>
  <c r="AT4" i="7" a="1"/>
  <c r="AT4" i="7"/>
  <c r="AU4" i="7" a="1"/>
  <c r="AU4" i="7" s="1"/>
  <c r="AV4" i="7" a="1"/>
  <c r="AV4" i="7"/>
  <c r="AW4" i="7" a="1"/>
  <c r="AW4" i="7"/>
  <c r="AX4" i="7" a="1"/>
  <c r="AX4" i="7"/>
  <c r="AY4" i="7" a="1"/>
  <c r="AY4" i="7"/>
  <c r="AZ4" i="7" a="1"/>
  <c r="AZ4" i="7"/>
  <c r="BA4" i="7" a="1"/>
  <c r="BA4" i="7" s="1"/>
  <c r="BB4" i="7" a="1"/>
  <c r="BB4" i="7"/>
  <c r="BC4" i="7" a="1"/>
  <c r="BC4" i="7"/>
  <c r="BD4" i="7" a="1"/>
  <c r="BD4" i="7"/>
  <c r="BE4" i="7" a="1"/>
  <c r="BE4" i="7"/>
  <c r="BF4" i="7" a="1"/>
  <c r="BF4" i="7" s="1"/>
  <c r="BG4" i="7" a="1"/>
  <c r="BG4" i="7" s="1"/>
  <c r="BH4" i="7" a="1"/>
  <c r="BH4" i="7"/>
  <c r="BI4" i="7" a="1"/>
  <c r="BI4" i="7"/>
  <c r="BJ4" i="7" a="1"/>
  <c r="BJ4" i="7"/>
  <c r="BK4" i="7" a="1"/>
  <c r="BK4" i="7"/>
  <c r="BL4" i="7" a="1"/>
  <c r="BL4" i="7"/>
  <c r="BM4" i="7" a="1"/>
  <c r="BM4" i="7" s="1"/>
  <c r="BN4" i="7" a="1"/>
  <c r="BN4" i="7"/>
  <c r="BO4" i="7" a="1"/>
  <c r="BO4" i="7"/>
  <c r="C5" i="7" a="1"/>
  <c r="C5" i="7"/>
  <c r="D5" i="7" a="1"/>
  <c r="D5" i="7"/>
  <c r="E5" i="7" a="1"/>
  <c r="E5" i="7"/>
  <c r="F5" i="7" a="1"/>
  <c r="F5" i="7" s="1"/>
  <c r="G5" i="7" a="1"/>
  <c r="G5" i="7"/>
  <c r="H5" i="7" a="1"/>
  <c r="H5" i="7"/>
  <c r="I5" i="7" a="1"/>
  <c r="I5" i="7"/>
  <c r="J5" i="7" a="1"/>
  <c r="J5" i="7"/>
  <c r="K5" i="7" a="1"/>
  <c r="K5" i="7"/>
  <c r="L5" i="7" a="1"/>
  <c r="L5" i="7" s="1"/>
  <c r="M5" i="7" a="1"/>
  <c r="M5" i="7" s="1"/>
  <c r="N5" i="7" a="1"/>
  <c r="N5" i="7"/>
  <c r="O5" i="7" a="1"/>
  <c r="O5" i="7"/>
  <c r="P5" i="7" a="1"/>
  <c r="P5" i="7"/>
  <c r="Q5" i="7" a="1"/>
  <c r="Q5" i="7"/>
  <c r="R5" i="7" a="1"/>
  <c r="R5" i="7" s="1"/>
  <c r="S5" i="7" a="1"/>
  <c r="S5" i="7"/>
  <c r="T5" i="7" a="1"/>
  <c r="T5" i="7"/>
  <c r="U5" i="7" a="1"/>
  <c r="U5" i="7"/>
  <c r="V5" i="7" a="1"/>
  <c r="V5" i="7"/>
  <c r="W5" i="7" a="1"/>
  <c r="W5" i="7"/>
  <c r="X5" i="7" a="1"/>
  <c r="X5" i="7" s="1"/>
  <c r="Y5" i="7" a="1"/>
  <c r="Y5" i="7"/>
  <c r="Z5" i="7" a="1"/>
  <c r="Z5" i="7" s="1"/>
  <c r="AA5" i="7" a="1"/>
  <c r="AA5" i="7"/>
  <c r="AB5" i="7" a="1"/>
  <c r="AB5" i="7"/>
  <c r="AC5" i="7" a="1"/>
  <c r="AC5" i="7"/>
  <c r="AD5" i="7" a="1"/>
  <c r="AD5" i="7" s="1"/>
  <c r="AE5" i="7" a="1"/>
  <c r="AE5" i="7"/>
  <c r="AF5" i="7" a="1"/>
  <c r="AF5" i="7"/>
  <c r="AG5" i="7" a="1"/>
  <c r="AG5" i="7"/>
  <c r="AH5" i="7" a="1"/>
  <c r="AH5" i="7"/>
  <c r="AI5" i="7" a="1"/>
  <c r="AI5" i="7"/>
  <c r="AJ5" i="7" a="1"/>
  <c r="AJ5" i="7" s="1"/>
  <c r="AK5" i="7" a="1"/>
  <c r="AK5" i="7"/>
  <c r="AL5" i="7" a="1"/>
  <c r="AL5" i="7"/>
  <c r="AM5" i="7" a="1"/>
  <c r="AM5" i="7" s="1"/>
  <c r="AN5" i="7" a="1"/>
  <c r="AN5" i="7"/>
  <c r="AO5" i="7" a="1"/>
  <c r="AO5" i="7"/>
  <c r="AP5" i="7" a="1"/>
  <c r="AP5" i="7" s="1"/>
  <c r="AQ5" i="7" a="1"/>
  <c r="AQ5" i="7"/>
  <c r="AR5" i="7" a="1"/>
  <c r="AR5" i="7"/>
  <c r="AS5" i="7" a="1"/>
  <c r="AS5" i="7"/>
  <c r="AT5" i="7" a="1"/>
  <c r="AT5" i="7"/>
  <c r="AU5" i="7" a="1"/>
  <c r="AU5" i="7"/>
  <c r="AV5" i="7" a="1"/>
  <c r="AV5" i="7" s="1"/>
  <c r="AW5" i="7" a="1"/>
  <c r="AW5" i="7"/>
  <c r="AX5" i="7" a="1"/>
  <c r="AX5" i="7"/>
  <c r="AY5" i="7" a="1"/>
  <c r="AY5" i="7"/>
  <c r="AZ5" i="7" a="1"/>
  <c r="AZ5" i="7" s="1"/>
  <c r="BA5" i="7" a="1"/>
  <c r="BA5" i="7"/>
  <c r="BB5" i="7" a="1"/>
  <c r="BB5" i="7" s="1"/>
  <c r="BC5" i="7" a="1"/>
  <c r="BC5" i="7"/>
  <c r="BD5" i="7" a="1"/>
  <c r="BD5" i="7"/>
  <c r="BE5" i="7" a="1"/>
  <c r="BE5" i="7"/>
  <c r="BF5" i="7" a="1"/>
  <c r="BF5" i="7"/>
  <c r="BG5" i="7" a="1"/>
  <c r="BG5" i="7"/>
  <c r="BH5" i="7" a="1"/>
  <c r="BH5" i="7" s="1"/>
  <c r="BI5" i="7" a="1"/>
  <c r="BI5" i="7"/>
  <c r="BJ5" i="7" a="1"/>
  <c r="BJ5" i="7"/>
  <c r="BK5" i="7" a="1"/>
  <c r="BK5" i="7"/>
  <c r="BL5" i="7" a="1"/>
  <c r="BL5" i="7"/>
  <c r="BM5" i="7" a="1"/>
  <c r="BM5" i="7" s="1"/>
  <c r="BN5" i="7" a="1"/>
  <c r="BN5" i="7" s="1"/>
  <c r="BO5" i="7" a="1"/>
  <c r="BO5" i="7"/>
  <c r="C6" i="7" a="1"/>
  <c r="C6" i="7"/>
  <c r="D6" i="7" a="1"/>
  <c r="D6" i="7"/>
  <c r="E6" i="7" a="1"/>
  <c r="E6" i="7"/>
  <c r="F6" i="7" a="1"/>
  <c r="F6" i="7"/>
  <c r="G6" i="7" a="1"/>
  <c r="G6" i="7" s="1"/>
  <c r="H6" i="7" a="1"/>
  <c r="H6" i="7"/>
  <c r="I6" i="7" a="1"/>
  <c r="I6" i="7"/>
  <c r="J6" i="7" a="1"/>
  <c r="J6" i="7"/>
  <c r="K6" i="7" a="1"/>
  <c r="K6" i="7"/>
  <c r="L6" i="7" a="1"/>
  <c r="L6" i="7"/>
  <c r="M6" i="7" a="1"/>
  <c r="M6" i="7" s="1"/>
  <c r="N6" i="7" a="1"/>
  <c r="N6" i="7"/>
  <c r="O6" i="7" a="1"/>
  <c r="O6" i="7"/>
  <c r="P6" i="7" a="1"/>
  <c r="P6" i="7"/>
  <c r="Q6" i="7" a="1"/>
  <c r="Q6" i="7"/>
  <c r="R6" i="7" a="1"/>
  <c r="R6" i="7"/>
  <c r="S6" i="7" a="1"/>
  <c r="S6" i="7" s="1"/>
  <c r="T6" i="7" a="1"/>
  <c r="T6" i="7" s="1"/>
  <c r="U6" i="7" a="1"/>
  <c r="U6" i="7"/>
  <c r="V6" i="7" a="1"/>
  <c r="V6" i="7"/>
  <c r="W6" i="7" a="1"/>
  <c r="W6" i="7"/>
  <c r="X6" i="7" a="1"/>
  <c r="X6" i="7"/>
  <c r="Y6" i="7" a="1"/>
  <c r="Y6" i="7" s="1"/>
  <c r="Z6" i="7" a="1"/>
  <c r="Z6" i="7"/>
  <c r="AA6" i="7" a="1"/>
  <c r="AA6" i="7"/>
  <c r="AB6" i="7" a="1"/>
  <c r="AB6" i="7"/>
  <c r="AC6" i="7" a="1"/>
  <c r="AC6" i="7"/>
  <c r="AD6" i="7" a="1"/>
  <c r="AD6" i="7"/>
  <c r="AE6" i="7" a="1"/>
  <c r="AE6" i="7" s="1"/>
  <c r="AF6" i="7" a="1"/>
  <c r="AF6" i="7"/>
  <c r="AG6" i="7" a="1"/>
  <c r="AG6" i="7" s="1"/>
  <c r="AH6" i="7" a="1"/>
  <c r="AH6" i="7"/>
  <c r="AI6" i="7" a="1"/>
  <c r="AI6" i="7"/>
  <c r="AJ6" i="7" a="1"/>
  <c r="AJ6" i="7"/>
  <c r="AK6" i="7" a="1"/>
  <c r="AK6" i="7" s="1"/>
  <c r="AL6" i="7" a="1"/>
  <c r="AL6" i="7"/>
  <c r="AM6" i="7" a="1"/>
  <c r="AM6" i="7"/>
  <c r="AN6" i="7" a="1"/>
  <c r="AN6" i="7"/>
  <c r="AO6" i="7" a="1"/>
  <c r="AO6" i="7"/>
  <c r="AP6" i="7" a="1"/>
  <c r="AP6" i="7"/>
  <c r="AQ6" i="7" a="1"/>
  <c r="AQ6" i="7" s="1"/>
  <c r="AR6" i="7" a="1"/>
  <c r="AR6" i="7"/>
  <c r="AS6" i="7" a="1"/>
  <c r="AS6" i="7"/>
  <c r="AT6" i="7" a="1"/>
  <c r="AT6" i="7" s="1"/>
  <c r="AU6" i="7" a="1"/>
  <c r="AU6" i="7"/>
  <c r="AV6" i="7" a="1"/>
  <c r="AV6" i="7"/>
  <c r="AW6" i="7" a="1"/>
  <c r="AW6" i="7" s="1"/>
  <c r="AX6" i="7" a="1"/>
  <c r="AX6" i="7"/>
  <c r="AY6" i="7" a="1"/>
  <c r="AY6" i="7"/>
  <c r="AZ6" i="7" a="1"/>
  <c r="AZ6" i="7"/>
  <c r="BA6" i="7" a="1"/>
  <c r="BA6" i="7"/>
  <c r="BB6" i="7" a="1"/>
  <c r="BB6" i="7"/>
  <c r="BC6" i="7" a="1"/>
  <c r="BC6" i="7" s="1"/>
  <c r="BD6" i="7" a="1"/>
  <c r="BD6" i="7"/>
  <c r="BE6" i="7" a="1"/>
  <c r="BE6" i="7"/>
  <c r="BF6" i="7" a="1"/>
  <c r="BF6" i="7"/>
  <c r="BG6" i="7" a="1"/>
  <c r="BG6" i="7" s="1"/>
  <c r="BH6" i="7" a="1"/>
  <c r="BH6" i="7"/>
  <c r="BI6" i="7" a="1"/>
  <c r="BI6" i="7" s="1"/>
  <c r="BJ6" i="7" a="1"/>
  <c r="BJ6" i="7"/>
  <c r="BK6" i="7" a="1"/>
  <c r="BK6" i="7"/>
  <c r="BL6" i="7" a="1"/>
  <c r="BL6" i="7"/>
  <c r="BM6" i="7" a="1"/>
  <c r="BM6" i="7"/>
  <c r="BN6" i="7" a="1"/>
  <c r="BN6" i="7"/>
  <c r="BO6" i="7" a="1"/>
  <c r="BO6" i="7" s="1"/>
  <c r="C7" i="7" a="1"/>
  <c r="C7" i="7"/>
  <c r="D7" i="7" a="1"/>
  <c r="D7" i="7"/>
  <c r="E7" i="7" a="1"/>
  <c r="E7" i="7"/>
  <c r="F7" i="7" a="1"/>
  <c r="F7" i="7"/>
  <c r="G7" i="7" a="1"/>
  <c r="G7" i="7" s="1"/>
  <c r="H7" i="7" a="1"/>
  <c r="H7" i="7" s="1"/>
  <c r="I7" i="7" a="1"/>
  <c r="I7" i="7"/>
  <c r="J7" i="7" a="1"/>
  <c r="J7" i="7"/>
  <c r="K7" i="7" a="1"/>
  <c r="K7" i="7"/>
  <c r="L7" i="7" a="1"/>
  <c r="L7" i="7"/>
  <c r="M7" i="7" a="1"/>
  <c r="M7" i="7"/>
  <c r="N7" i="7" a="1"/>
  <c r="N7" i="7" s="1"/>
  <c r="O7" i="7" a="1"/>
  <c r="O7" i="7"/>
  <c r="P7" i="7" a="1"/>
  <c r="P7" i="7"/>
  <c r="Q7" i="7" a="1"/>
  <c r="Q7" i="7"/>
  <c r="R7" i="7" a="1"/>
  <c r="R7" i="7"/>
  <c r="S7" i="7" a="1"/>
  <c r="S7" i="7"/>
  <c r="T7" i="7" a="1"/>
  <c r="T7" i="7" s="1"/>
  <c r="U7" i="7" a="1"/>
  <c r="U7" i="7"/>
  <c r="V7" i="7" a="1"/>
  <c r="V7" i="7"/>
  <c r="W7" i="7" a="1"/>
  <c r="W7" i="7"/>
  <c r="X7" i="7" a="1"/>
  <c r="X7" i="7"/>
  <c r="Y7" i="7" a="1"/>
  <c r="Y7" i="7"/>
  <c r="Z7" i="7" a="1"/>
  <c r="Z7" i="7" s="1"/>
  <c r="AA7" i="7" a="1"/>
  <c r="AA7" i="7" s="1"/>
  <c r="AB7" i="7" a="1"/>
  <c r="AB7" i="7"/>
  <c r="AC7" i="7" a="1"/>
  <c r="AC7" i="7"/>
  <c r="AD7" i="7" a="1"/>
  <c r="AD7" i="7"/>
  <c r="AE7" i="7" a="1"/>
  <c r="AE7" i="7"/>
  <c r="AF7" i="7" a="1"/>
  <c r="AF7" i="7" s="1"/>
  <c r="AG7" i="7" a="1"/>
  <c r="AG7" i="7"/>
  <c r="AH7" i="7" a="1"/>
  <c r="AH7" i="7"/>
  <c r="AI7" i="7" a="1"/>
  <c r="AI7" i="7"/>
  <c r="AJ7" i="7" a="1"/>
  <c r="AJ7" i="7"/>
  <c r="AK7" i="7" a="1"/>
  <c r="AK7" i="7"/>
  <c r="AL7" i="7" a="1"/>
  <c r="AL7" i="7" s="1"/>
  <c r="AM7" i="7" a="1"/>
  <c r="AM7" i="7"/>
  <c r="AN7" i="7" a="1"/>
  <c r="AN7" i="7" s="1"/>
  <c r="AO7" i="7" a="1"/>
  <c r="AO7" i="7"/>
  <c r="AP7" i="7" a="1"/>
  <c r="AP7" i="7"/>
  <c r="AQ7" i="7" a="1"/>
  <c r="AQ7" i="7"/>
  <c r="AR7" i="7" a="1"/>
  <c r="AR7" i="7" s="1"/>
  <c r="AS7" i="7" a="1"/>
  <c r="AS7" i="7"/>
  <c r="AT7" i="7" a="1"/>
  <c r="AT7" i="7"/>
  <c r="AU7" i="7" a="1"/>
  <c r="AU7" i="7"/>
  <c r="AV7" i="7" a="1"/>
  <c r="AV7" i="7"/>
  <c r="AW7" i="7" a="1"/>
  <c r="AW7" i="7"/>
  <c r="AX7" i="7" a="1"/>
  <c r="AX7" i="7" s="1"/>
  <c r="AY7" i="7" a="1"/>
  <c r="AY7" i="7"/>
  <c r="AZ7" i="7" a="1"/>
  <c r="AZ7" i="7"/>
  <c r="BA7" i="7" a="1"/>
  <c r="BA7" i="7" s="1"/>
  <c r="BB7" i="7" a="1"/>
  <c r="BB7" i="7"/>
  <c r="BC7" i="7" a="1"/>
  <c r="BC7" i="7"/>
  <c r="BD7" i="7" a="1"/>
  <c r="BD7" i="7" s="1"/>
  <c r="BE7" i="7" a="1"/>
  <c r="BE7" i="7"/>
  <c r="BF7" i="7" a="1"/>
  <c r="BF7" i="7"/>
  <c r="BG7" i="7" a="1"/>
  <c r="BG7" i="7"/>
  <c r="BH7" i="7" a="1"/>
  <c r="BH7" i="7"/>
  <c r="BI7" i="7" a="1"/>
  <c r="BI7" i="7"/>
  <c r="BJ7" i="7" a="1"/>
  <c r="BJ7" i="7" s="1"/>
  <c r="BK7" i="7" a="1"/>
  <c r="BK7" i="7"/>
  <c r="BL7" i="7" a="1"/>
  <c r="BL7" i="7"/>
  <c r="BM7" i="7" a="1"/>
  <c r="BM7" i="7"/>
  <c r="BN7" i="7" a="1"/>
  <c r="BN7" i="7" s="1"/>
  <c r="BO7" i="7" a="1"/>
  <c r="BO7" i="7"/>
  <c r="B3" i="7" a="1"/>
  <c r="B3" i="7"/>
  <c r="B4" i="7" a="1"/>
  <c r="B4" i="7" s="1"/>
  <c r="B5" i="7" a="1"/>
  <c r="B5" i="7"/>
  <c r="B6" i="7" a="1"/>
  <c r="B6" i="7"/>
  <c r="B7" i="7" a="1"/>
  <c r="B7" i="7"/>
  <c r="B2" i="7" a="1"/>
  <c r="B2" i="7"/>
  <c r="BP7" i="7" a="1"/>
  <c r="BP6" i="7" a="1"/>
  <c r="BP5" i="7" a="1"/>
  <c r="BP4" i="7" a="1"/>
  <c r="BP3" i="7" a="1"/>
  <c r="BP2" i="7" a="1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BF7" i="6"/>
  <c r="BG7" i="6"/>
  <c r="BH7" i="6"/>
  <c r="BI7" i="6"/>
  <c r="BJ7" i="6"/>
  <c r="BK7" i="6"/>
  <c r="BL7" i="6"/>
  <c r="BM7" i="6"/>
  <c r="BN7" i="6"/>
  <c r="BO7" i="6"/>
  <c r="B7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6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BC5" i="6"/>
  <c r="BD5" i="6"/>
  <c r="BE5" i="6"/>
  <c r="BF5" i="6"/>
  <c r="BG5" i="6"/>
  <c r="BH5" i="6"/>
  <c r="BI5" i="6"/>
  <c r="BJ5" i="6"/>
  <c r="BK5" i="6"/>
  <c r="BL5" i="6"/>
  <c r="BM5" i="6"/>
  <c r="BN5" i="6"/>
  <c r="BO5" i="6"/>
  <c r="B5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4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BF3" i="6"/>
  <c r="BG3" i="6"/>
  <c r="BH3" i="6"/>
  <c r="BI3" i="6"/>
  <c r="BJ3" i="6"/>
  <c r="BK3" i="6"/>
  <c r="BL3" i="6"/>
  <c r="BM3" i="6"/>
  <c r="BN3" i="6"/>
  <c r="BO3" i="6"/>
  <c r="B3" i="6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AG2" i="6"/>
  <c r="AH2" i="6"/>
  <c r="AI2" i="6"/>
  <c r="AJ2" i="6"/>
  <c r="AK2" i="6"/>
  <c r="AL2" i="6"/>
  <c r="AM2" i="6"/>
  <c r="AN2" i="6"/>
  <c r="AO2" i="6"/>
  <c r="AP2" i="6"/>
  <c r="AQ2" i="6"/>
  <c r="AR2" i="6"/>
  <c r="AS2" i="6"/>
  <c r="AT2" i="6"/>
  <c r="AU2" i="6"/>
  <c r="AV2" i="6"/>
  <c r="AW2" i="6"/>
  <c r="AX2" i="6"/>
  <c r="AY2" i="6"/>
  <c r="AZ2" i="6"/>
  <c r="BA2" i="6"/>
  <c r="BB2" i="6"/>
  <c r="BC2" i="6"/>
  <c r="BD2" i="6"/>
  <c r="BE2" i="6"/>
  <c r="BF2" i="6"/>
  <c r="BG2" i="6"/>
  <c r="BH2" i="6"/>
  <c r="BI2" i="6"/>
  <c r="BJ2" i="6"/>
  <c r="BK2" i="6"/>
  <c r="BL2" i="6"/>
  <c r="BM2" i="6"/>
  <c r="BN2" i="6"/>
  <c r="BO2" i="6"/>
  <c r="B2" i="6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AT2" i="5"/>
  <c r="AU2" i="5"/>
  <c r="AV2" i="5"/>
  <c r="AW2" i="5"/>
  <c r="AX2" i="5"/>
  <c r="AY2" i="5"/>
  <c r="AZ2" i="5"/>
  <c r="BA2" i="5"/>
  <c r="BB2" i="5"/>
  <c r="BC2" i="5"/>
  <c r="BD2" i="5"/>
  <c r="BE2" i="5"/>
  <c r="BF2" i="5"/>
  <c r="BG2" i="5"/>
  <c r="BH2" i="5"/>
  <c r="BI2" i="5"/>
  <c r="BJ2" i="5"/>
  <c r="BK2" i="5"/>
  <c r="BL2" i="5"/>
  <c r="BM2" i="5"/>
  <c r="BN2" i="5"/>
  <c r="BO2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BI3" i="5"/>
  <c r="BJ3" i="5"/>
  <c r="BK3" i="5"/>
  <c r="BL3" i="5"/>
  <c r="BM3" i="5"/>
  <c r="BN3" i="5"/>
  <c r="BO3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3" i="5"/>
  <c r="B4" i="5"/>
  <c r="B5" i="5"/>
  <c r="B6" i="5"/>
  <c r="B7" i="5"/>
  <c r="B8" i="5"/>
  <c r="B9" i="5"/>
  <c r="B2" i="5"/>
  <c r="BP9" i="5" a="1"/>
  <c r="BP8" i="5" a="1"/>
  <c r="BP7" i="5" a="1"/>
  <c r="BP6" i="5" a="1"/>
  <c r="BP5" i="5" a="1"/>
  <c r="BP4" i="5" a="1"/>
  <c r="BP4" i="5" s="1"/>
  <c r="BP3" i="5" a="1"/>
  <c r="BP2" i="5" a="1"/>
  <c r="BP3" i="4" a="1"/>
  <c r="BP3" i="4"/>
  <c r="BP4" i="4" a="1"/>
  <c r="BP4" i="4" s="1"/>
  <c r="BP5" i="4" a="1"/>
  <c r="BP5" i="4"/>
  <c r="BP6" i="4" a="1"/>
  <c r="BP6" i="4"/>
  <c r="BP7" i="4" a="1"/>
  <c r="BP7" i="4"/>
  <c r="BP8" i="4" a="1"/>
  <c r="BP8" i="4"/>
  <c r="BP9" i="4" a="1"/>
  <c r="BP9" i="4"/>
  <c r="BP2" i="4" a="1"/>
  <c r="BP2" i="4" s="1"/>
  <c r="C10" i="4" a="1"/>
  <c r="C10" i="4" s="1"/>
  <c r="D10" i="4" a="1"/>
  <c r="D10" i="4"/>
  <c r="E10" i="4" a="1"/>
  <c r="E10" i="4"/>
  <c r="F10" i="4" a="1"/>
  <c r="F10" i="4"/>
  <c r="G10" i="4" a="1"/>
  <c r="G10" i="4"/>
  <c r="H10" i="4" a="1"/>
  <c r="H10" i="4"/>
  <c r="I10" i="4" a="1"/>
  <c r="I10" i="4" s="1"/>
  <c r="J10" i="4" a="1"/>
  <c r="J10" i="4"/>
  <c r="K10" i="4" a="1"/>
  <c r="K10" i="4"/>
  <c r="L10" i="4" a="1"/>
  <c r="L10" i="4"/>
  <c r="M10" i="4" a="1"/>
  <c r="M10" i="4"/>
  <c r="N10" i="4" a="1"/>
  <c r="N10" i="4"/>
  <c r="O10" i="4" a="1"/>
  <c r="O10" i="4" s="1"/>
  <c r="P10" i="4" a="1"/>
  <c r="P10" i="4"/>
  <c r="Q10" i="4" a="1"/>
  <c r="Q10" i="4" s="1"/>
  <c r="R10" i="4" a="1"/>
  <c r="R10" i="4"/>
  <c r="S10" i="4" a="1"/>
  <c r="S10" i="4"/>
  <c r="T10" i="4" a="1"/>
  <c r="T10" i="4"/>
  <c r="U10" i="4" a="1"/>
  <c r="U10" i="4" s="1"/>
  <c r="V10" i="4" a="1"/>
  <c r="V10" i="4" s="1"/>
  <c r="W10" i="4" a="1"/>
  <c r="W10" i="4" s="1"/>
  <c r="X10" i="4" a="1"/>
  <c r="X10" i="4"/>
  <c r="Y10" i="4" a="1"/>
  <c r="Y10" i="4"/>
  <c r="Z10" i="4" a="1"/>
  <c r="Z10" i="4"/>
  <c r="AA10" i="4" a="1"/>
  <c r="AA10" i="4" s="1"/>
  <c r="AB10" i="4" a="1"/>
  <c r="AB10" i="4" s="1"/>
  <c r="AC10" i="4" a="1"/>
  <c r="AC10" i="4"/>
  <c r="AD10" i="4" a="1"/>
  <c r="AD10" i="4"/>
  <c r="AE10" i="4" a="1"/>
  <c r="AE10" i="4"/>
  <c r="AF10" i="4" a="1"/>
  <c r="AF10" i="4"/>
  <c r="AG10" i="4" a="1"/>
  <c r="AG10" i="4" s="1"/>
  <c r="AH10" i="4" a="1"/>
  <c r="AH10" i="4" s="1"/>
  <c r="AI10" i="4" a="1"/>
  <c r="AI10" i="4" s="1"/>
  <c r="AJ10" i="4" a="1"/>
  <c r="AJ10" i="4" s="1"/>
  <c r="AK10" i="4" a="1"/>
  <c r="AK10" i="4"/>
  <c r="AL10" i="4" a="1"/>
  <c r="AL10" i="4"/>
  <c r="AM10" i="4" a="1"/>
  <c r="AM10" i="4" s="1"/>
  <c r="AN10" i="4" a="1"/>
  <c r="AN10" i="4"/>
  <c r="AO10" i="4" a="1"/>
  <c r="AO10" i="4" s="1"/>
  <c r="AP10" i="4" a="1"/>
  <c r="AP10" i="4"/>
  <c r="AQ10" i="4" a="1"/>
  <c r="AQ10" i="4"/>
  <c r="AR10" i="4" a="1"/>
  <c r="AR10" i="4"/>
  <c r="AS10" i="4" a="1"/>
  <c r="AS10" i="4" s="1"/>
  <c r="AT10" i="4" a="1"/>
  <c r="AT10" i="4"/>
  <c r="AU10" i="4" a="1"/>
  <c r="AU10" i="4" s="1"/>
  <c r="AV10" i="4" a="1"/>
  <c r="AV10" i="4" s="1"/>
  <c r="AW10" i="4" a="1"/>
  <c r="AW10" i="4" s="1"/>
  <c r="AX10" i="4" a="1"/>
  <c r="AX10" i="4"/>
  <c r="AY10" i="4" a="1"/>
  <c r="AY10" i="4" s="1"/>
  <c r="AZ10" i="4" a="1"/>
  <c r="AZ10" i="4"/>
  <c r="BA10" i="4" a="1"/>
  <c r="BA10" i="4"/>
  <c r="BB10" i="4" a="1"/>
  <c r="BB10" i="4" s="1"/>
  <c r="BC10" i="4" a="1"/>
  <c r="BC10" i="4"/>
  <c r="BD10" i="4" a="1"/>
  <c r="BD10" i="4"/>
  <c r="BE10" i="4" a="1"/>
  <c r="BE10" i="4" s="1"/>
  <c r="BF10" i="4" a="1"/>
  <c r="BF10" i="4"/>
  <c r="BG10" i="4" a="1"/>
  <c r="BG10" i="4"/>
  <c r="BH10" i="4" a="1"/>
  <c r="BH10" i="4" s="1"/>
  <c r="BI10" i="4" a="1"/>
  <c r="BI10" i="4" s="1"/>
  <c r="BJ10" i="4" a="1"/>
  <c r="BJ10" i="4" s="1"/>
  <c r="BK10" i="4" a="1"/>
  <c r="BK10" i="4" s="1"/>
  <c r="BL10" i="4" a="1"/>
  <c r="BL10" i="4"/>
  <c r="BM10" i="4" a="1"/>
  <c r="BM10" i="4"/>
  <c r="BN10" i="4" a="1"/>
  <c r="BN10" i="4"/>
  <c r="BO10" i="4" a="1"/>
  <c r="BO10" i="4" s="1"/>
  <c r="B10" i="4" a="1"/>
  <c r="B10" i="4"/>
  <c r="F3" i="1"/>
  <c r="F6" i="1" a="1"/>
  <c r="F6" i="1" s="1"/>
  <c r="F9" i="1"/>
  <c r="F10" i="1"/>
  <c r="F8" i="1"/>
  <c r="F5" i="1" a="1"/>
  <c r="F5" i="1" s="1"/>
  <c r="F4" i="1" a="1"/>
  <c r="F4" i="1" s="1"/>
  <c r="C2" i="1"/>
  <c r="BP2" i="7" l="1"/>
  <c r="BP6" i="7"/>
  <c r="BP4" i="7"/>
  <c r="BP7" i="7"/>
  <c r="BP5" i="7"/>
  <c r="BP3" i="7"/>
  <c r="BP3" i="6" a="1"/>
  <c r="BP3" i="6" s="1"/>
  <c r="BP6" i="6" a="1"/>
  <c r="BP6" i="6" s="1"/>
  <c r="BP4" i="6" a="1"/>
  <c r="BP4" i="6" s="1"/>
  <c r="BP5" i="6" a="1"/>
  <c r="BP5" i="6" s="1"/>
  <c r="BP7" i="6" a="1"/>
  <c r="BP7" i="6" s="1"/>
  <c r="BP2" i="6" a="1"/>
  <c r="BP2" i="6" s="1"/>
  <c r="BP5" i="5"/>
  <c r="BP6" i="5"/>
  <c r="BP7" i="5"/>
  <c r="BP3" i="5"/>
  <c r="BP8" i="5"/>
  <c r="BP9" i="5"/>
  <c r="BP2" i="5"/>
  <c r="BP9" i="7" l="1"/>
</calcChain>
</file>

<file path=xl/sharedStrings.xml><?xml version="1.0" encoding="utf-8"?>
<sst xmlns="http://schemas.openxmlformats.org/spreadsheetml/2006/main" count="654" uniqueCount="334">
  <si>
    <t>Série histórica da receita de ICMS por setor do modelo - em R$$</t>
  </si>
  <si>
    <t>Setor</t>
  </si>
  <si>
    <t>ArrozTriCer</t>
  </si>
  <si>
    <t>Arroz, trigo e outros cereais</t>
  </si>
  <si>
    <t>MilhoGrao</t>
  </si>
  <si>
    <t>Milho em grão</t>
  </si>
  <si>
    <t xml:space="preserve"> -   </t>
  </si>
  <si>
    <t>AlgFibTemp</t>
  </si>
  <si>
    <t>Algodão herbáceo e outras fibras</t>
  </si>
  <si>
    <t>Canadeacu</t>
  </si>
  <si>
    <t>Cana-de-açúcar</t>
  </si>
  <si>
    <t>SojaGrao</t>
  </si>
  <si>
    <t>Soja  em grão</t>
  </si>
  <si>
    <t>OutTempor</t>
  </si>
  <si>
    <t>Outros produtos da lavoura temporária</t>
  </si>
  <si>
    <t>Laranja</t>
  </si>
  <si>
    <t>CafeGrao</t>
  </si>
  <si>
    <t>Café em grão</t>
  </si>
  <si>
    <t>OutPerman</t>
  </si>
  <si>
    <t>Outros produtos da lavoura permanente</t>
  </si>
  <si>
    <t>BovOutAni</t>
  </si>
  <si>
    <t>Bovinos e outros animais vivos</t>
  </si>
  <si>
    <t>LeiteVacOut</t>
  </si>
  <si>
    <t>Leite</t>
  </si>
  <si>
    <t>Suinos</t>
  </si>
  <si>
    <t>Suínos</t>
  </si>
  <si>
    <t>AvesOvos</t>
  </si>
  <si>
    <t>Aves e ovos</t>
  </si>
  <si>
    <t>ProdExplSilv</t>
  </si>
  <si>
    <t>Exploração florestal e da silvicultura</t>
  </si>
  <si>
    <t>PescAgric</t>
  </si>
  <si>
    <t>Pesca e aquicultura</t>
  </si>
  <si>
    <t>CarvMinera</t>
  </si>
  <si>
    <t>Carvão mineral</t>
  </si>
  <si>
    <t>MinerNMet</t>
  </si>
  <si>
    <t>Minerais não metálicos</t>
  </si>
  <si>
    <t>PetrGasServ</t>
  </si>
  <si>
    <t>Petróleo e gás natural</t>
  </si>
  <si>
    <t>MinerFerro</t>
  </si>
  <si>
    <t>Minério de ferro</t>
  </si>
  <si>
    <t>MinMetNFer</t>
  </si>
  <si>
    <t>Minerais metálicos não ferrosos</t>
  </si>
  <si>
    <t>CarneBoiOut</t>
  </si>
  <si>
    <t>Carne de bovinos</t>
  </si>
  <si>
    <t>CarneSuino</t>
  </si>
  <si>
    <t>Carne de suíno</t>
  </si>
  <si>
    <t>CarneAves</t>
  </si>
  <si>
    <t>Carne de aves</t>
  </si>
  <si>
    <t>PescIndus</t>
  </si>
  <si>
    <t>Pescado industrializado</t>
  </si>
  <si>
    <t>LeiteResPas</t>
  </si>
  <si>
    <t>Leite beneficiado</t>
  </si>
  <si>
    <t>OutrLaticin</t>
  </si>
  <si>
    <t>Outros produtos do laticínio</t>
  </si>
  <si>
    <t>Acucar</t>
  </si>
  <si>
    <t>Açúcar</t>
  </si>
  <si>
    <t>ConsFruLeg</t>
  </si>
  <si>
    <t>Conservas  e sucos</t>
  </si>
  <si>
    <t>OleoGord</t>
  </si>
  <si>
    <t>Óleos e gorduras vegetais e animais</t>
  </si>
  <si>
    <t>CafeBenef</t>
  </si>
  <si>
    <t>Café beneficiado</t>
  </si>
  <si>
    <t>ArrozBenef</t>
  </si>
  <si>
    <t>Arroz beneficiado</t>
  </si>
  <si>
    <t>ProdTrigMan</t>
  </si>
  <si>
    <t>Derivados do trigo, mandioca ou milho</t>
  </si>
  <si>
    <t>RacoesAnim</t>
  </si>
  <si>
    <t>Rações para animais</t>
  </si>
  <si>
    <t>OutrAlimen</t>
  </si>
  <si>
    <t>Outros produtos alimentares</t>
  </si>
  <si>
    <t>Bebidas</t>
  </si>
  <si>
    <t>Fumo</t>
  </si>
  <si>
    <t>Produtos do fumo</t>
  </si>
  <si>
    <t>FioFibraTex</t>
  </si>
  <si>
    <t>Fios e fibras têxteis beneficiadas</t>
  </si>
  <si>
    <t>Tecidos</t>
  </si>
  <si>
    <t>ArtTexDom</t>
  </si>
  <si>
    <t>Têxteis</t>
  </si>
  <si>
    <t>ArtVestAces</t>
  </si>
  <si>
    <t>Vestuário e acessórios</t>
  </si>
  <si>
    <t>CalcCouro</t>
  </si>
  <si>
    <t>Calçados e artefatos de couro</t>
  </si>
  <si>
    <t>ProdMandei</t>
  </si>
  <si>
    <t>Produtos de madeira</t>
  </si>
  <si>
    <t>Celulose</t>
  </si>
  <si>
    <t>PapelEmbalag</t>
  </si>
  <si>
    <t>Papel e papelão</t>
  </si>
  <si>
    <t>SerImpres</t>
  </si>
  <si>
    <t>Impressão e reprodução</t>
  </si>
  <si>
    <t>CombAviac</t>
  </si>
  <si>
    <t>Combustíveis para aviação</t>
  </si>
  <si>
    <t>Gasoalcool</t>
  </si>
  <si>
    <t>Gasoálcool</t>
  </si>
  <si>
    <t>NaftasPetro</t>
  </si>
  <si>
    <t>Naftas para petroquímica</t>
  </si>
  <si>
    <t>OleoComb</t>
  </si>
  <si>
    <t xml:space="preserve">Óleo combustível  </t>
  </si>
  <si>
    <t>DieselComb</t>
  </si>
  <si>
    <t>Diesel - biodiesel</t>
  </si>
  <si>
    <t>OutRefPetro</t>
  </si>
  <si>
    <t>Outros produtos do refino do petróleo</t>
  </si>
  <si>
    <t>EtanolBio</t>
  </si>
  <si>
    <t>Etanol e outros biocombustíveis</t>
  </si>
  <si>
    <t>PrQuiIno</t>
  </si>
  <si>
    <t>Químicos inorgânicos</t>
  </si>
  <si>
    <t>AduboFert</t>
  </si>
  <si>
    <t>Adubos e fertilizantes</t>
  </si>
  <si>
    <t>PrQuimOrg</t>
  </si>
  <si>
    <t>Químicos orgânicos</t>
  </si>
  <si>
    <t>ResElasFib</t>
  </si>
  <si>
    <t>Resinas, elastômeros e fibras</t>
  </si>
  <si>
    <t>DefAgrDesinf</t>
  </si>
  <si>
    <t>Defensivos agrícolas e desinfestantes</t>
  </si>
  <si>
    <t>PrQuimDiv</t>
  </si>
  <si>
    <t xml:space="preserve">Químicos diversos </t>
  </si>
  <si>
    <t>TinVerEsm</t>
  </si>
  <si>
    <t>Tintas e vernizes</t>
  </si>
  <si>
    <t>PerfSabLimp</t>
  </si>
  <si>
    <t>Perfumaria, sabões e limpeza</t>
  </si>
  <si>
    <t>ProdFarm</t>
  </si>
  <si>
    <t>Produtos farmacêuticos</t>
  </si>
  <si>
    <t>ArtBorracha</t>
  </si>
  <si>
    <t>Artigos de borracha</t>
  </si>
  <si>
    <t>ArtPlastico</t>
  </si>
  <si>
    <t>Artigos de plástico</t>
  </si>
  <si>
    <t>Cimento</t>
  </si>
  <si>
    <t>ArtCimen</t>
  </si>
  <si>
    <t>Artefatos de cimento e gesso</t>
  </si>
  <si>
    <t>VidCerm</t>
  </si>
  <si>
    <t>Vidros, cerâmicos e minerais não metálicos</t>
  </si>
  <si>
    <t>FerroGussa</t>
  </si>
  <si>
    <t>Ferro gusa e ferroligas</t>
  </si>
  <si>
    <t>SemiLamAco</t>
  </si>
  <si>
    <t>Semi acabados, laminados e tubos de aço</t>
  </si>
  <si>
    <t>PrMetNFer</t>
  </si>
  <si>
    <t>Metalurgia de metais não ferrosos</t>
  </si>
  <si>
    <t>PAcoNFer</t>
  </si>
  <si>
    <t>Peças fundidas de aço e de metais não ferrosos</t>
  </si>
  <si>
    <t>ProdMetal</t>
  </si>
  <si>
    <t>Produtos de metal</t>
  </si>
  <si>
    <t>ComEletro</t>
  </si>
  <si>
    <t>Componentes eletrônicos</t>
  </si>
  <si>
    <t>MaqEquiInf</t>
  </si>
  <si>
    <t>Escritório e informática</t>
  </si>
  <si>
    <t>MatEleCom</t>
  </si>
  <si>
    <t>Eletrônicos e comunicações</t>
  </si>
  <si>
    <t>EquTesMed</t>
  </si>
  <si>
    <t>Medida, ópticos e eletromédicos</t>
  </si>
  <si>
    <t>MaqMatElet</t>
  </si>
  <si>
    <t>Produtos elétricos</t>
  </si>
  <si>
    <t>Eltrodom</t>
  </si>
  <si>
    <t>Eletrodomésticos</t>
  </si>
  <si>
    <t>TratorOut</t>
  </si>
  <si>
    <t>Tratores e outras máquinas agrícolas</t>
  </si>
  <si>
    <t>MarExtMin</t>
  </si>
  <si>
    <t>Máquinas da extração mineral</t>
  </si>
  <si>
    <t>OutMaq</t>
  </si>
  <si>
    <t>Outras máquinas e equipamentos mecânicos</t>
  </si>
  <si>
    <t>AutoCamUti</t>
  </si>
  <si>
    <t>Automóveis, camionetas e utilitários</t>
  </si>
  <si>
    <t>CamOnibus</t>
  </si>
  <si>
    <t>Caminhões e ônibus</t>
  </si>
  <si>
    <t>PecasAutom</t>
  </si>
  <si>
    <t>Peças e acessórios automotores</t>
  </si>
  <si>
    <t>AeroEmbOut</t>
  </si>
  <si>
    <t>Aeronaves e equipamentos de transporte</t>
  </si>
  <si>
    <t>Moveis</t>
  </si>
  <si>
    <t>Móveis</t>
  </si>
  <si>
    <t>IndDiversas</t>
  </si>
  <si>
    <t>Industrias diversas</t>
  </si>
  <si>
    <t>ManuRep</t>
  </si>
  <si>
    <t>Máquinas e equipamentos</t>
  </si>
  <si>
    <t>EletGasOut</t>
  </si>
  <si>
    <t>Eletricidade, gás e outras utilidades</t>
  </si>
  <si>
    <t>AguaEsgRec</t>
  </si>
  <si>
    <t>Água, esgoto, reciclagem e resíduos</t>
  </si>
  <si>
    <t>Edificacoes</t>
  </si>
  <si>
    <t>Edificações</t>
  </si>
  <si>
    <t>InfraEstr</t>
  </si>
  <si>
    <t>Obras de infraestrutura</t>
  </si>
  <si>
    <t>ServContr</t>
  </si>
  <si>
    <t>Serviços especializados para construção</t>
  </si>
  <si>
    <t>ComAtaVar</t>
  </si>
  <si>
    <t>Comércio por atacado e varejo</t>
  </si>
  <si>
    <t>TranspCarga</t>
  </si>
  <si>
    <t>Transporte de carga</t>
  </si>
  <si>
    <t>TransPass</t>
  </si>
  <si>
    <t>Transporte terrestre de passageiros</t>
  </si>
  <si>
    <t>TransAere</t>
  </si>
  <si>
    <t>Transporte aéreo</t>
  </si>
  <si>
    <t>ArSAuxTrans</t>
  </si>
  <si>
    <t>Armazéns e serviços de transportes</t>
  </si>
  <si>
    <t>CorreioEnt</t>
  </si>
  <si>
    <t>Correio</t>
  </si>
  <si>
    <t>SerAlojam</t>
  </si>
  <si>
    <t>Serviços de alojamento</t>
  </si>
  <si>
    <t>SerAlimen</t>
  </si>
  <si>
    <t>Serviços  de alimentação</t>
  </si>
  <si>
    <t>LivrJorRevis</t>
  </si>
  <si>
    <t>Livros, jornais e revistas</t>
  </si>
  <si>
    <t>SerCineRad</t>
  </si>
  <si>
    <t>Cinematográficos, rádio e televisão</t>
  </si>
  <si>
    <t>TelecomOut</t>
  </si>
  <si>
    <t>Telecomunicações</t>
  </si>
  <si>
    <t>DesSistOut</t>
  </si>
  <si>
    <t>Sistemas e outros serviços de informação</t>
  </si>
  <si>
    <t>IntFinaSeg</t>
  </si>
  <si>
    <t>Intermediação financeira</t>
  </si>
  <si>
    <t>AlugEfet</t>
  </si>
  <si>
    <t>Aluguel imobiliário</t>
  </si>
  <si>
    <t>AlugImp</t>
  </si>
  <si>
    <t>Aluguel imputado</t>
  </si>
  <si>
    <t>SerJuridTab</t>
  </si>
  <si>
    <t>Jurídicos, contabilidade e consultoria</t>
  </si>
  <si>
    <t>PeDesenv</t>
  </si>
  <si>
    <t>Pesquisa e desenvolvimento</t>
  </si>
  <si>
    <t>SerArqEng</t>
  </si>
  <si>
    <t>Arquitetura e engenharia</t>
  </si>
  <si>
    <t>PubOutTec</t>
  </si>
  <si>
    <t>Publicidade</t>
  </si>
  <si>
    <t>AluNImob</t>
  </si>
  <si>
    <t>Aluguéis não imobiliários</t>
  </si>
  <si>
    <t>Condomin</t>
  </si>
  <si>
    <t>Condomínios</t>
  </si>
  <si>
    <t>OutAdmin</t>
  </si>
  <si>
    <t>Outros serviços administrativos</t>
  </si>
  <si>
    <t>ServVigSeg</t>
  </si>
  <si>
    <t>Vigilância, segurança e investigação</t>
  </si>
  <si>
    <t>SerAdmPub</t>
  </si>
  <si>
    <t>Serviços coletivos da administração pública</t>
  </si>
  <si>
    <t>ServPrevid</t>
  </si>
  <si>
    <t>Previdência e assistência social</t>
  </si>
  <si>
    <t>EducPubl</t>
  </si>
  <si>
    <t>Educação pública</t>
  </si>
  <si>
    <t>EducPriv</t>
  </si>
  <si>
    <t>Educação privada</t>
  </si>
  <si>
    <t>SaudPublica</t>
  </si>
  <si>
    <t>Saúde pública</t>
  </si>
  <si>
    <t>SaudPrivada</t>
  </si>
  <si>
    <t>Saúde privada</t>
  </si>
  <si>
    <t>SerArtCultur</t>
  </si>
  <si>
    <t>Serviços de artes, cultura, esporte e recreação</t>
  </si>
  <si>
    <t>OrgPatrSind</t>
  </si>
  <si>
    <t>Serviços associativos</t>
  </si>
  <si>
    <t>ManComp</t>
  </si>
  <si>
    <t>Manutenção de objetos domésticos</t>
  </si>
  <si>
    <t>ServPesDom</t>
  </si>
  <si>
    <t>Serviços pessoais e domésticos</t>
  </si>
  <si>
    <t>Não se aplica</t>
  </si>
  <si>
    <t>Agropec</t>
  </si>
  <si>
    <t>Extrativa</t>
  </si>
  <si>
    <t>Industria</t>
  </si>
  <si>
    <t>Serviços</t>
  </si>
  <si>
    <t>FabmE</t>
  </si>
  <si>
    <t>Energ</t>
  </si>
  <si>
    <t>ComAtacVar</t>
  </si>
  <si>
    <t>1 Aimores</t>
  </si>
  <si>
    <t>2 Alfenas</t>
  </si>
  <si>
    <t>3 Almenara</t>
  </si>
  <si>
    <t>4 Andrelandia</t>
  </si>
  <si>
    <t>5 Aracuai</t>
  </si>
  <si>
    <t>6 Araxa</t>
  </si>
  <si>
    <t>7 Barbacena</t>
  </si>
  <si>
    <t>8 BeloHzte</t>
  </si>
  <si>
    <t>9 Bocaiuva</t>
  </si>
  <si>
    <t>10 BomDespacho</t>
  </si>
  <si>
    <t>11 CampoBelo</t>
  </si>
  <si>
    <t>12 Capelinha</t>
  </si>
  <si>
    <t>13 Caratinga</t>
  </si>
  <si>
    <t>14 Cataguases</t>
  </si>
  <si>
    <t>15 ConcMatoDen</t>
  </si>
  <si>
    <t>16 Lafaiete</t>
  </si>
  <si>
    <t>17 Curvelo</t>
  </si>
  <si>
    <t>18 Diamantina</t>
  </si>
  <si>
    <t>19 Divinopolis</t>
  </si>
  <si>
    <t>20 Formiga</t>
  </si>
  <si>
    <t>21 Frutal</t>
  </si>
  <si>
    <t>22 GovValad</t>
  </si>
  <si>
    <t>23 GraoMogol</t>
  </si>
  <si>
    <t>24 Guanhaes</t>
  </si>
  <si>
    <t>25 Ipatinga</t>
  </si>
  <si>
    <t>26 Itabira</t>
  </si>
  <si>
    <t>27 Itaguara</t>
  </si>
  <si>
    <t>28 Itajuba</t>
  </si>
  <si>
    <t>29 Ituiutaba</t>
  </si>
  <si>
    <t>30 Janauba</t>
  </si>
  <si>
    <t>31 Januaria</t>
  </si>
  <si>
    <t>32 JuizFora</t>
  </si>
  <si>
    <t>33 Lavras</t>
  </si>
  <si>
    <t>34 Manhuau</t>
  </si>
  <si>
    <t>35 Mantena</t>
  </si>
  <si>
    <t>36 MontesClaros</t>
  </si>
  <si>
    <t>37 Muriae</t>
  </si>
  <si>
    <t>38 Nanuque</t>
  </si>
  <si>
    <t>39 Oliveira</t>
  </si>
  <si>
    <t>40 OuroPreto</t>
  </si>
  <si>
    <t>41 ParaMinas</t>
  </si>
  <si>
    <t>42 Paracatu</t>
  </si>
  <si>
    <t>43 Passos</t>
  </si>
  <si>
    <t>44 PatosMinas</t>
  </si>
  <si>
    <t>45 Patrocinio</t>
  </si>
  <si>
    <t>46 Pecanha</t>
  </si>
  <si>
    <t>47 PedraAzul</t>
  </si>
  <si>
    <t>48 Pirapora</t>
  </si>
  <si>
    <t>49 Piui</t>
  </si>
  <si>
    <t>50 PocosCaldas</t>
  </si>
  <si>
    <t>51 PonteNova</t>
  </si>
  <si>
    <t>52 PousoAlegre</t>
  </si>
  <si>
    <t>53 Salinas</t>
  </si>
  <si>
    <t>54 StaRitaSapuc</t>
  </si>
  <si>
    <t>55 SaoJoaoDRei</t>
  </si>
  <si>
    <t>56 SaoLoureno</t>
  </si>
  <si>
    <t>57 SaoSebParai</t>
  </si>
  <si>
    <t>58 SeteLagoas</t>
  </si>
  <si>
    <t>59 TeofOtoni</t>
  </si>
  <si>
    <t>60 TresMarias</t>
  </si>
  <si>
    <t>61 Uba</t>
  </si>
  <si>
    <t>62 Uberaba</t>
  </si>
  <si>
    <t>63 Uberlandia</t>
  </si>
  <si>
    <t>64 Unai</t>
  </si>
  <si>
    <t>65 Varginha</t>
  </si>
  <si>
    <t>66 Vicosa</t>
  </si>
  <si>
    <t>1 Agropec</t>
  </si>
  <si>
    <t>2 Extrativa</t>
  </si>
  <si>
    <t>3 Industria</t>
  </si>
  <si>
    <t>6 Servico</t>
  </si>
  <si>
    <t>7 ComAtaVar</t>
  </si>
  <si>
    <t>8 TranspCarga</t>
  </si>
  <si>
    <t>xtot</t>
  </si>
  <si>
    <t>4 FabMEletr</t>
  </si>
  <si>
    <t>5 EnergGas</t>
  </si>
  <si>
    <t>MAKE</t>
  </si>
  <si>
    <t>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</si>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</sst>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6" formatCode="_-* #,##0.0000_-;\-* #,##0.00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E6673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4">
    <xf numFmtId="0" fontId="0" fillId="0" borderId="0" xfId="0"/>
    <xf numFmtId="0" fontId="3" fillId="0" borderId="0" xfId="2" applyFont="1"/>
    <xf numFmtId="0" fontId="4" fillId="2" borderId="0" xfId="2" applyFont="1" applyFill="1"/>
    <xf numFmtId="0" fontId="5" fillId="0" borderId="1" xfId="2" applyFont="1" applyBorder="1"/>
    <xf numFmtId="164" fontId="6" fillId="0" borderId="0" xfId="2" applyNumberFormat="1" applyFont="1"/>
    <xf numFmtId="0" fontId="7" fillId="0" borderId="0" xfId="2" applyFont="1"/>
    <xf numFmtId="164" fontId="3" fillId="0" borderId="0" xfId="1" applyNumberFormat="1" applyFont="1" applyBorder="1"/>
    <xf numFmtId="2" fontId="3" fillId="0" borderId="0" xfId="2" applyNumberFormat="1" applyFont="1"/>
    <xf numFmtId="164" fontId="3" fillId="0" borderId="2" xfId="1" applyNumberFormat="1" applyFont="1" applyBorder="1"/>
    <xf numFmtId="43" fontId="3" fillId="0" borderId="0" xfId="1" applyFont="1"/>
    <xf numFmtId="0" fontId="3" fillId="3" borderId="0" xfId="2" applyFont="1" applyFill="1"/>
    <xf numFmtId="0" fontId="3" fillId="4" borderId="0" xfId="2" applyFont="1" applyFill="1"/>
    <xf numFmtId="0" fontId="3" fillId="5" borderId="0" xfId="2" applyFont="1" applyFill="1"/>
    <xf numFmtId="0" fontId="3" fillId="5" borderId="2" xfId="2" applyFont="1" applyFill="1" applyBorder="1"/>
    <xf numFmtId="0" fontId="3" fillId="6" borderId="0" xfId="2" applyFont="1" applyFill="1"/>
    <xf numFmtId="0" fontId="3" fillId="7" borderId="0" xfId="2" applyFont="1" applyFill="1"/>
    <xf numFmtId="0" fontId="3" fillId="8" borderId="0" xfId="2" applyFont="1" applyFill="1"/>
    <xf numFmtId="0" fontId="8" fillId="0" borderId="0" xfId="0" applyFont="1" applyAlignment="1">
      <alignment horizontal="center"/>
    </xf>
    <xf numFmtId="0" fontId="2" fillId="0" borderId="0" xfId="0" applyFont="1"/>
    <xf numFmtId="43" fontId="2" fillId="0" borderId="0" xfId="1" applyFont="1"/>
    <xf numFmtId="43" fontId="0" fillId="0" borderId="0" xfId="0" applyNumberFormat="1"/>
    <xf numFmtId="166" fontId="0" fillId="0" borderId="0" xfId="0" applyNumberFormat="1"/>
    <xf numFmtId="43" fontId="0" fillId="0" borderId="0" xfId="1" applyFont="1"/>
    <xf numFmtId="43" fontId="2" fillId="0" borderId="0" xfId="1" applyNumberFormat="1" applyFont="1"/>
  </cellXfs>
  <cellStyles count="3">
    <cellStyle name="Normal" xfId="0" builtinId="0"/>
    <cellStyle name="Normal 2" xfId="2" xr:uid="{7FF8B3D4-A2C6-44A6-BBE5-54BC08E8A130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C0CFD-EB6A-4ACE-B034-FD9F0E4714BB}">
  <dimension ref="A1:M128"/>
  <sheetViews>
    <sheetView workbookViewId="0">
      <selection activeCell="B8" sqref="B8"/>
    </sheetView>
  </sheetViews>
  <sheetFormatPr defaultColWidth="12.109375" defaultRowHeight="13.8" x14ac:dyDescent="0.25"/>
  <cols>
    <col min="1" max="1" width="15.109375" style="1" bestFit="1" customWidth="1"/>
    <col min="2" max="2" width="66.88671875" style="1" bestFit="1" customWidth="1"/>
    <col min="3" max="3" width="18.77734375" style="1" bestFit="1" customWidth="1"/>
    <col min="4" max="5" width="12.109375" style="1"/>
    <col min="6" max="6" width="19.21875" style="1" bestFit="1" customWidth="1"/>
    <col min="7" max="7" width="14.21875" style="1" bestFit="1" customWidth="1"/>
    <col min="8" max="8" width="19.21875" style="1" bestFit="1" customWidth="1"/>
    <col min="9" max="13" width="13.5546875" style="1" bestFit="1" customWidth="1"/>
    <col min="14" max="16384" width="12.109375" style="1"/>
  </cols>
  <sheetData>
    <row r="1" spans="1:13" x14ac:dyDescent="0.25">
      <c r="B1" s="2" t="s">
        <v>0</v>
      </c>
      <c r="C1" s="3">
        <v>2023</v>
      </c>
    </row>
    <row r="2" spans="1:13" x14ac:dyDescent="0.25">
      <c r="B2" s="3" t="s">
        <v>1</v>
      </c>
      <c r="C2" s="4">
        <f>SUM(C3:C128)</f>
        <v>51281981987</v>
      </c>
    </row>
    <row r="3" spans="1:13" x14ac:dyDescent="0.25">
      <c r="A3" s="5" t="s">
        <v>2</v>
      </c>
      <c r="B3" s="10" t="s">
        <v>3</v>
      </c>
      <c r="C3" s="6">
        <v>15498612</v>
      </c>
      <c r="E3" s="1" t="s">
        <v>249</v>
      </c>
      <c r="F3" s="9">
        <f>SUM(C3:C17)</f>
        <v>443411827</v>
      </c>
      <c r="G3" s="9" t="s">
        <v>249</v>
      </c>
      <c r="H3" s="9">
        <v>443411827</v>
      </c>
      <c r="I3" s="7"/>
      <c r="J3" s="7"/>
      <c r="K3" s="7"/>
      <c r="L3" s="7"/>
      <c r="M3" s="7"/>
    </row>
    <row r="4" spans="1:13" x14ac:dyDescent="0.25">
      <c r="A4" s="5" t="s">
        <v>4</v>
      </c>
      <c r="B4" s="10" t="s">
        <v>5</v>
      </c>
      <c r="C4" s="6" t="s">
        <v>6</v>
      </c>
      <c r="E4" s="1" t="s">
        <v>250</v>
      </c>
      <c r="F4" s="9">
        <f t="array" ref="F4">SUM(C18:C22)</f>
        <v>1712736919</v>
      </c>
      <c r="G4" s="9" t="s">
        <v>250</v>
      </c>
      <c r="H4" s="9">
        <v>1712736919</v>
      </c>
      <c r="I4" s="7"/>
      <c r="J4" s="7"/>
      <c r="K4" s="7"/>
      <c r="L4" s="7"/>
      <c r="M4" s="7"/>
    </row>
    <row r="5" spans="1:13" x14ac:dyDescent="0.25">
      <c r="A5" s="5" t="s">
        <v>7</v>
      </c>
      <c r="B5" s="10" t="s">
        <v>8</v>
      </c>
      <c r="C5" s="6">
        <v>85136</v>
      </c>
      <c r="E5" s="1" t="s">
        <v>251</v>
      </c>
      <c r="F5" s="9">
        <f t="array" ref="F5">SUM(C23:C89)</f>
        <v>24231303195</v>
      </c>
      <c r="G5" s="9" t="s">
        <v>251</v>
      </c>
      <c r="H5" s="9">
        <v>24231303195</v>
      </c>
      <c r="I5" s="7"/>
      <c r="J5" s="7"/>
      <c r="K5" s="7"/>
      <c r="L5" s="7"/>
      <c r="M5" s="7"/>
    </row>
    <row r="6" spans="1:13" x14ac:dyDescent="0.25">
      <c r="A6" s="5" t="s">
        <v>9</v>
      </c>
      <c r="B6" s="10" t="s">
        <v>10</v>
      </c>
      <c r="C6" s="6">
        <v>23840641</v>
      </c>
      <c r="E6" s="1" t="s">
        <v>252</v>
      </c>
      <c r="F6" s="9">
        <f t="array" ref="F6">SUM(C91:C94,C97:C128)</f>
        <v>2648366477</v>
      </c>
      <c r="G6" s="9" t="s">
        <v>252</v>
      </c>
      <c r="H6" s="9">
        <v>2648366477</v>
      </c>
      <c r="I6" s="7"/>
      <c r="J6" s="7"/>
      <c r="K6" s="7"/>
      <c r="L6" s="7"/>
      <c r="M6" s="7"/>
    </row>
    <row r="7" spans="1:13" x14ac:dyDescent="0.25">
      <c r="A7" s="5" t="s">
        <v>11</v>
      </c>
      <c r="B7" s="10" t="s">
        <v>12</v>
      </c>
      <c r="C7" s="6">
        <v>6167109</v>
      </c>
      <c r="E7" s="1" t="s">
        <v>253</v>
      </c>
      <c r="F7" s="9"/>
      <c r="G7" s="9" t="s">
        <v>255</v>
      </c>
      <c r="H7" s="9">
        <v>16495663209</v>
      </c>
      <c r="I7" s="7"/>
      <c r="J7" s="7"/>
      <c r="K7" s="7"/>
      <c r="L7" s="7"/>
      <c r="M7" s="7"/>
    </row>
    <row r="8" spans="1:13" x14ac:dyDescent="0.25">
      <c r="A8" s="5" t="s">
        <v>13</v>
      </c>
      <c r="B8" s="10" t="s">
        <v>14</v>
      </c>
      <c r="C8" s="6">
        <v>211306088</v>
      </c>
      <c r="E8" s="1" t="s">
        <v>254</v>
      </c>
      <c r="F8" s="9">
        <f>C90</f>
        <v>4934225117</v>
      </c>
      <c r="G8" s="9" t="s">
        <v>184</v>
      </c>
      <c r="H8" s="9">
        <v>816275243</v>
      </c>
      <c r="I8" s="7"/>
      <c r="J8" s="7"/>
      <c r="K8" s="7"/>
      <c r="L8" s="7"/>
      <c r="M8" s="7"/>
    </row>
    <row r="9" spans="1:13" x14ac:dyDescent="0.25">
      <c r="A9" s="5" t="s">
        <v>15</v>
      </c>
      <c r="B9" s="10" t="s">
        <v>15</v>
      </c>
      <c r="C9" s="6">
        <v>47813139</v>
      </c>
      <c r="E9" s="1" t="s">
        <v>255</v>
      </c>
      <c r="F9" s="9">
        <f>C95</f>
        <v>16495663209</v>
      </c>
      <c r="I9" s="7"/>
      <c r="J9" s="7"/>
      <c r="K9" s="7"/>
      <c r="L9" s="7"/>
      <c r="M9" s="7"/>
    </row>
    <row r="10" spans="1:13" x14ac:dyDescent="0.25">
      <c r="A10" s="5" t="s">
        <v>16</v>
      </c>
      <c r="B10" s="10" t="s">
        <v>17</v>
      </c>
      <c r="C10" s="6">
        <v>3000389</v>
      </c>
      <c r="E10" s="1" t="s">
        <v>184</v>
      </c>
      <c r="F10" s="9">
        <f>C96</f>
        <v>816275243</v>
      </c>
      <c r="I10" s="7"/>
      <c r="J10" s="7"/>
      <c r="K10" s="7"/>
      <c r="L10" s="7"/>
      <c r="M10" s="7"/>
    </row>
    <row r="11" spans="1:13" x14ac:dyDescent="0.25">
      <c r="A11" s="5" t="s">
        <v>18</v>
      </c>
      <c r="B11" s="10" t="s">
        <v>19</v>
      </c>
      <c r="C11" s="6">
        <v>1716542</v>
      </c>
      <c r="F11" s="7"/>
      <c r="G11" s="7"/>
      <c r="H11" s="7"/>
      <c r="I11" s="7"/>
      <c r="J11" s="7"/>
      <c r="K11" s="7"/>
      <c r="L11" s="7"/>
      <c r="M11" s="7"/>
    </row>
    <row r="12" spans="1:13" x14ac:dyDescent="0.25">
      <c r="A12" s="5" t="s">
        <v>20</v>
      </c>
      <c r="B12" s="10" t="s">
        <v>21</v>
      </c>
      <c r="C12" s="6">
        <v>15469767</v>
      </c>
      <c r="F12" s="7"/>
      <c r="G12" s="7"/>
      <c r="H12" s="7"/>
      <c r="I12" s="7"/>
      <c r="J12" s="7"/>
      <c r="K12" s="7"/>
      <c r="L12" s="7"/>
      <c r="M12" s="7"/>
    </row>
    <row r="13" spans="1:13" x14ac:dyDescent="0.25">
      <c r="A13" s="5" t="s">
        <v>22</v>
      </c>
      <c r="B13" s="10" t="s">
        <v>23</v>
      </c>
      <c r="C13" s="6" t="s">
        <v>6</v>
      </c>
      <c r="F13" s="7"/>
      <c r="G13" s="7"/>
      <c r="H13" s="7"/>
      <c r="I13" s="7"/>
      <c r="J13" s="7"/>
      <c r="K13" s="7"/>
      <c r="L13" s="7"/>
      <c r="M13" s="7"/>
    </row>
    <row r="14" spans="1:13" x14ac:dyDescent="0.25">
      <c r="A14" s="5" t="s">
        <v>24</v>
      </c>
      <c r="B14" s="10" t="s">
        <v>25</v>
      </c>
      <c r="C14" s="6">
        <v>3460625</v>
      </c>
      <c r="F14" s="7"/>
      <c r="G14" s="7"/>
      <c r="H14" s="7"/>
      <c r="I14" s="7"/>
      <c r="J14" s="7"/>
      <c r="K14" s="7"/>
      <c r="L14" s="7"/>
      <c r="M14" s="7"/>
    </row>
    <row r="15" spans="1:13" x14ac:dyDescent="0.25">
      <c r="A15" s="5" t="s">
        <v>26</v>
      </c>
      <c r="B15" s="10" t="s">
        <v>27</v>
      </c>
      <c r="C15" s="6">
        <v>15960381</v>
      </c>
      <c r="F15" s="7"/>
      <c r="G15" s="7"/>
      <c r="H15" s="7"/>
      <c r="I15" s="7"/>
      <c r="J15" s="7"/>
      <c r="K15" s="7"/>
      <c r="L15" s="7"/>
      <c r="M15" s="7"/>
    </row>
    <row r="16" spans="1:13" x14ac:dyDescent="0.25">
      <c r="A16" s="5" t="s">
        <v>28</v>
      </c>
      <c r="B16" s="10" t="s">
        <v>29</v>
      </c>
      <c r="C16" s="6">
        <v>97665517</v>
      </c>
      <c r="F16" s="7"/>
      <c r="G16" s="7"/>
      <c r="H16" s="7"/>
      <c r="I16" s="7"/>
      <c r="J16" s="7"/>
      <c r="K16" s="7"/>
      <c r="L16" s="7"/>
      <c r="M16" s="7"/>
    </row>
    <row r="17" spans="1:13" x14ac:dyDescent="0.25">
      <c r="A17" s="5" t="s">
        <v>30</v>
      </c>
      <c r="B17" s="10" t="s">
        <v>31</v>
      </c>
      <c r="C17" s="6">
        <v>1427881</v>
      </c>
      <c r="F17" s="7"/>
      <c r="G17" s="7"/>
      <c r="H17" s="7"/>
      <c r="I17" s="7"/>
      <c r="J17" s="7"/>
      <c r="K17" s="7"/>
      <c r="L17" s="7"/>
      <c r="M17" s="7"/>
    </row>
    <row r="18" spans="1:13" x14ac:dyDescent="0.25">
      <c r="A18" s="5" t="s">
        <v>32</v>
      </c>
      <c r="B18" s="11" t="s">
        <v>33</v>
      </c>
      <c r="C18" s="6">
        <v>47209</v>
      </c>
      <c r="F18" s="7"/>
      <c r="G18" s="7"/>
      <c r="H18" s="7"/>
      <c r="I18" s="7"/>
      <c r="J18" s="7"/>
      <c r="K18" s="7"/>
      <c r="L18" s="7"/>
      <c r="M18" s="7"/>
    </row>
    <row r="19" spans="1:13" x14ac:dyDescent="0.25">
      <c r="A19" s="5" t="s">
        <v>34</v>
      </c>
      <c r="B19" s="11" t="s">
        <v>35</v>
      </c>
      <c r="C19" s="6">
        <v>83231234</v>
      </c>
      <c r="F19" s="7"/>
      <c r="G19" s="7"/>
      <c r="H19" s="7"/>
      <c r="I19" s="7"/>
      <c r="J19" s="7"/>
      <c r="K19" s="7"/>
      <c r="L19" s="7"/>
      <c r="M19" s="7"/>
    </row>
    <row r="20" spans="1:13" x14ac:dyDescent="0.25">
      <c r="A20" s="5" t="s">
        <v>36</v>
      </c>
      <c r="B20" s="11" t="s">
        <v>37</v>
      </c>
      <c r="C20" s="6">
        <v>14358</v>
      </c>
      <c r="F20" s="7"/>
      <c r="G20" s="7"/>
      <c r="H20" s="7"/>
      <c r="I20" s="7"/>
      <c r="J20" s="7"/>
      <c r="K20" s="7"/>
      <c r="L20" s="7"/>
      <c r="M20" s="7"/>
    </row>
    <row r="21" spans="1:13" x14ac:dyDescent="0.25">
      <c r="A21" s="5" t="s">
        <v>38</v>
      </c>
      <c r="B21" s="11" t="s">
        <v>39</v>
      </c>
      <c r="C21" s="6">
        <v>1488187729</v>
      </c>
      <c r="F21" s="7"/>
      <c r="G21" s="7"/>
      <c r="H21" s="7"/>
      <c r="I21" s="7"/>
      <c r="J21" s="7"/>
      <c r="K21" s="7"/>
      <c r="L21" s="7"/>
      <c r="M21" s="7"/>
    </row>
    <row r="22" spans="1:13" x14ac:dyDescent="0.25">
      <c r="A22" s="5" t="s">
        <v>40</v>
      </c>
      <c r="B22" s="11" t="s">
        <v>41</v>
      </c>
      <c r="C22" s="6">
        <v>141256389</v>
      </c>
      <c r="F22" s="7"/>
      <c r="G22" s="7"/>
      <c r="H22" s="7"/>
      <c r="I22" s="7"/>
      <c r="J22" s="7"/>
      <c r="K22" s="7"/>
      <c r="L22" s="7"/>
      <c r="M22" s="7"/>
    </row>
    <row r="23" spans="1:13" x14ac:dyDescent="0.25">
      <c r="A23" s="5" t="s">
        <v>42</v>
      </c>
      <c r="B23" s="12" t="s">
        <v>43</v>
      </c>
      <c r="C23" s="6">
        <v>142069983</v>
      </c>
      <c r="F23" s="7"/>
      <c r="G23" s="7"/>
      <c r="H23" s="7"/>
      <c r="I23" s="7"/>
      <c r="J23" s="7"/>
      <c r="K23" s="7"/>
      <c r="L23" s="7"/>
      <c r="M23" s="7"/>
    </row>
    <row r="24" spans="1:13" x14ac:dyDescent="0.25">
      <c r="A24" s="5" t="s">
        <v>44</v>
      </c>
      <c r="B24" s="12" t="s">
        <v>45</v>
      </c>
      <c r="C24" s="6">
        <v>119108937</v>
      </c>
      <c r="F24" s="7"/>
      <c r="G24" s="7"/>
      <c r="H24" s="7"/>
      <c r="I24" s="7"/>
      <c r="J24" s="7"/>
      <c r="K24" s="7"/>
      <c r="L24" s="7"/>
      <c r="M24" s="7"/>
    </row>
    <row r="25" spans="1:13" x14ac:dyDescent="0.25">
      <c r="A25" s="5" t="s">
        <v>46</v>
      </c>
      <c r="B25" s="12" t="s">
        <v>47</v>
      </c>
      <c r="C25" s="6" t="s">
        <v>6</v>
      </c>
      <c r="F25" s="7"/>
      <c r="G25" s="7"/>
      <c r="H25" s="7"/>
      <c r="I25" s="7"/>
      <c r="J25" s="7"/>
      <c r="K25" s="7"/>
      <c r="L25" s="7"/>
      <c r="M25" s="7"/>
    </row>
    <row r="26" spans="1:13" x14ac:dyDescent="0.25">
      <c r="A26" s="5" t="s">
        <v>48</v>
      </c>
      <c r="B26" s="12" t="s">
        <v>49</v>
      </c>
      <c r="C26" s="6">
        <v>3862415</v>
      </c>
      <c r="F26" s="7"/>
      <c r="G26" s="7"/>
      <c r="H26" s="7"/>
      <c r="I26" s="7"/>
      <c r="J26" s="7"/>
      <c r="K26" s="7"/>
      <c r="L26" s="7"/>
      <c r="M26" s="7"/>
    </row>
    <row r="27" spans="1:13" x14ac:dyDescent="0.25">
      <c r="A27" s="5" t="s">
        <v>50</v>
      </c>
      <c r="B27" s="12" t="s">
        <v>51</v>
      </c>
      <c r="C27" s="6">
        <v>122606586</v>
      </c>
      <c r="F27" s="7"/>
      <c r="G27" s="7"/>
      <c r="H27" s="7"/>
      <c r="I27" s="7"/>
      <c r="J27" s="7"/>
      <c r="K27" s="7"/>
      <c r="L27" s="7"/>
      <c r="M27" s="7"/>
    </row>
    <row r="28" spans="1:13" x14ac:dyDescent="0.25">
      <c r="A28" s="5" t="s">
        <v>52</v>
      </c>
      <c r="B28" s="12" t="s">
        <v>53</v>
      </c>
      <c r="C28" s="6">
        <v>601490873</v>
      </c>
      <c r="F28" s="7"/>
      <c r="G28" s="7"/>
      <c r="H28" s="7"/>
      <c r="I28" s="7"/>
      <c r="J28" s="7"/>
      <c r="K28" s="7"/>
      <c r="L28" s="7"/>
      <c r="M28" s="7"/>
    </row>
    <row r="29" spans="1:13" x14ac:dyDescent="0.25">
      <c r="A29" s="5" t="s">
        <v>54</v>
      </c>
      <c r="B29" s="12" t="s">
        <v>55</v>
      </c>
      <c r="C29" s="6">
        <v>77090332</v>
      </c>
      <c r="F29" s="7"/>
      <c r="G29" s="7"/>
      <c r="H29" s="7"/>
      <c r="I29" s="7"/>
      <c r="J29" s="7"/>
      <c r="K29" s="7"/>
      <c r="L29" s="7"/>
      <c r="M29" s="7"/>
    </row>
    <row r="30" spans="1:13" x14ac:dyDescent="0.25">
      <c r="A30" s="5" t="s">
        <v>56</v>
      </c>
      <c r="B30" s="12" t="s">
        <v>57</v>
      </c>
      <c r="C30" s="6">
        <v>188863767</v>
      </c>
      <c r="F30" s="7"/>
      <c r="G30" s="7"/>
      <c r="H30" s="7"/>
      <c r="I30" s="7"/>
      <c r="J30" s="7"/>
      <c r="K30" s="7"/>
      <c r="L30" s="7"/>
      <c r="M30" s="7"/>
    </row>
    <row r="31" spans="1:13" x14ac:dyDescent="0.25">
      <c r="A31" s="5" t="s">
        <v>58</v>
      </c>
      <c r="B31" s="12" t="s">
        <v>59</v>
      </c>
      <c r="C31" s="6">
        <v>154300649</v>
      </c>
      <c r="F31" s="7"/>
      <c r="G31" s="7"/>
      <c r="H31" s="7"/>
      <c r="I31" s="7"/>
      <c r="J31" s="7"/>
      <c r="K31" s="7"/>
      <c r="L31" s="7"/>
      <c r="M31" s="7"/>
    </row>
    <row r="32" spans="1:13" x14ac:dyDescent="0.25">
      <c r="A32" s="5" t="s">
        <v>60</v>
      </c>
      <c r="B32" s="12" t="s">
        <v>61</v>
      </c>
      <c r="C32" s="6">
        <v>110116039</v>
      </c>
      <c r="F32" s="7"/>
      <c r="G32" s="7"/>
      <c r="H32" s="7"/>
      <c r="I32" s="7"/>
      <c r="J32" s="7"/>
      <c r="K32" s="7"/>
      <c r="L32" s="7"/>
      <c r="M32" s="7"/>
    </row>
    <row r="33" spans="1:13" x14ac:dyDescent="0.25">
      <c r="A33" s="5" t="s">
        <v>62</v>
      </c>
      <c r="B33" s="12" t="s">
        <v>63</v>
      </c>
      <c r="C33" s="6">
        <v>4712393</v>
      </c>
      <c r="F33" s="7"/>
      <c r="G33" s="7"/>
      <c r="H33" s="7"/>
      <c r="I33" s="7"/>
      <c r="J33" s="7"/>
      <c r="K33" s="7"/>
      <c r="L33" s="7"/>
      <c r="M33" s="7"/>
    </row>
    <row r="34" spans="1:13" x14ac:dyDescent="0.25">
      <c r="A34" s="5" t="s">
        <v>64</v>
      </c>
      <c r="B34" s="12" t="s">
        <v>65</v>
      </c>
      <c r="C34" s="6">
        <v>58921309</v>
      </c>
      <c r="F34" s="7"/>
      <c r="G34" s="7"/>
      <c r="H34" s="7"/>
      <c r="I34" s="7"/>
      <c r="J34" s="7"/>
      <c r="K34" s="7"/>
      <c r="L34" s="7"/>
      <c r="M34" s="7"/>
    </row>
    <row r="35" spans="1:13" x14ac:dyDescent="0.25">
      <c r="A35" s="5" t="s">
        <v>66</v>
      </c>
      <c r="B35" s="12" t="s">
        <v>67</v>
      </c>
      <c r="C35" s="6">
        <v>202781509</v>
      </c>
      <c r="F35" s="7"/>
      <c r="G35" s="7"/>
      <c r="H35" s="7"/>
      <c r="I35" s="7"/>
      <c r="J35" s="7"/>
      <c r="K35" s="7"/>
      <c r="L35" s="7"/>
      <c r="M35" s="7"/>
    </row>
    <row r="36" spans="1:13" x14ac:dyDescent="0.25">
      <c r="A36" s="5" t="s">
        <v>68</v>
      </c>
      <c r="B36" s="12" t="s">
        <v>69</v>
      </c>
      <c r="C36" s="6">
        <v>688929149</v>
      </c>
      <c r="F36" s="7"/>
      <c r="G36" s="7"/>
      <c r="H36" s="7"/>
      <c r="I36" s="7"/>
      <c r="J36" s="7"/>
      <c r="K36" s="7"/>
      <c r="L36" s="7"/>
      <c r="M36" s="7"/>
    </row>
    <row r="37" spans="1:13" x14ac:dyDescent="0.25">
      <c r="A37" s="5" t="s">
        <v>70</v>
      </c>
      <c r="B37" s="12" t="s">
        <v>70</v>
      </c>
      <c r="C37" s="6">
        <v>1612483908</v>
      </c>
      <c r="F37" s="7"/>
      <c r="G37" s="7"/>
      <c r="H37" s="7"/>
      <c r="I37" s="7"/>
      <c r="J37" s="7"/>
      <c r="K37" s="7"/>
      <c r="L37" s="7"/>
      <c r="M37" s="7"/>
    </row>
    <row r="38" spans="1:13" x14ac:dyDescent="0.25">
      <c r="A38" s="5" t="s">
        <v>71</v>
      </c>
      <c r="B38" s="12" t="s">
        <v>72</v>
      </c>
      <c r="C38" s="6">
        <v>969205739</v>
      </c>
      <c r="F38" s="7"/>
      <c r="G38" s="7"/>
      <c r="H38" s="7"/>
      <c r="I38" s="7"/>
      <c r="J38" s="7"/>
      <c r="K38" s="7"/>
      <c r="L38" s="7"/>
      <c r="M38" s="7"/>
    </row>
    <row r="39" spans="1:13" x14ac:dyDescent="0.25">
      <c r="A39" s="5" t="s">
        <v>73</v>
      </c>
      <c r="B39" s="12" t="s">
        <v>74</v>
      </c>
      <c r="C39" s="6">
        <v>6827242</v>
      </c>
      <c r="F39" s="7"/>
      <c r="G39" s="7"/>
      <c r="H39" s="7"/>
      <c r="I39" s="7"/>
      <c r="J39" s="7"/>
      <c r="K39" s="7"/>
      <c r="L39" s="7"/>
      <c r="M39" s="7"/>
    </row>
    <row r="40" spans="1:13" x14ac:dyDescent="0.25">
      <c r="A40" s="5" t="s">
        <v>75</v>
      </c>
      <c r="B40" s="12" t="s">
        <v>75</v>
      </c>
      <c r="C40" s="6">
        <v>11562190</v>
      </c>
      <c r="F40" s="7"/>
      <c r="G40" s="7"/>
      <c r="H40" s="7"/>
      <c r="I40" s="7"/>
      <c r="J40" s="7"/>
      <c r="K40" s="7"/>
      <c r="L40" s="7"/>
      <c r="M40" s="7"/>
    </row>
    <row r="41" spans="1:13" x14ac:dyDescent="0.25">
      <c r="A41" s="5" t="s">
        <v>76</v>
      </c>
      <c r="B41" s="12" t="s">
        <v>77</v>
      </c>
      <c r="C41" s="6">
        <v>80350488</v>
      </c>
      <c r="F41" s="7"/>
      <c r="G41" s="7"/>
      <c r="H41" s="7"/>
      <c r="I41" s="7"/>
      <c r="J41" s="7"/>
      <c r="K41" s="7"/>
      <c r="L41" s="7"/>
      <c r="M41" s="7"/>
    </row>
    <row r="42" spans="1:13" x14ac:dyDescent="0.25">
      <c r="A42" s="5" t="s">
        <v>78</v>
      </c>
      <c r="B42" s="12" t="s">
        <v>79</v>
      </c>
      <c r="C42" s="6">
        <v>131239963</v>
      </c>
      <c r="F42" s="7"/>
      <c r="G42" s="7"/>
      <c r="H42" s="7"/>
      <c r="I42" s="7"/>
      <c r="J42" s="7"/>
      <c r="K42" s="7"/>
      <c r="L42" s="7"/>
      <c r="M42" s="7"/>
    </row>
    <row r="43" spans="1:13" x14ac:dyDescent="0.25">
      <c r="A43" s="5" t="s">
        <v>80</v>
      </c>
      <c r="B43" s="12" t="s">
        <v>81</v>
      </c>
      <c r="C43" s="6">
        <v>90073661</v>
      </c>
      <c r="F43" s="7"/>
      <c r="G43" s="7"/>
      <c r="H43" s="7"/>
      <c r="I43" s="7"/>
      <c r="J43" s="7"/>
      <c r="K43" s="7"/>
      <c r="L43" s="7"/>
      <c r="M43" s="7"/>
    </row>
    <row r="44" spans="1:13" x14ac:dyDescent="0.25">
      <c r="A44" s="5" t="s">
        <v>82</v>
      </c>
      <c r="B44" s="12" t="s">
        <v>83</v>
      </c>
      <c r="C44" s="6">
        <v>69595907</v>
      </c>
      <c r="F44" s="7"/>
      <c r="G44" s="7"/>
      <c r="H44" s="7"/>
      <c r="I44" s="7"/>
      <c r="J44" s="7"/>
      <c r="K44" s="7"/>
      <c r="L44" s="7"/>
      <c r="M44" s="7"/>
    </row>
    <row r="45" spans="1:13" x14ac:dyDescent="0.25">
      <c r="A45" s="5" t="s">
        <v>84</v>
      </c>
      <c r="B45" s="12" t="s">
        <v>84</v>
      </c>
      <c r="C45" s="6">
        <v>40718096</v>
      </c>
      <c r="F45" s="7"/>
      <c r="G45" s="7"/>
      <c r="H45" s="7"/>
      <c r="I45" s="7"/>
      <c r="J45" s="7"/>
      <c r="K45" s="7"/>
      <c r="L45" s="7"/>
      <c r="M45" s="7"/>
    </row>
    <row r="46" spans="1:13" x14ac:dyDescent="0.25">
      <c r="A46" s="5" t="s">
        <v>85</v>
      </c>
      <c r="B46" s="12" t="s">
        <v>86</v>
      </c>
      <c r="C46" s="6">
        <v>100425705</v>
      </c>
      <c r="F46" s="7"/>
      <c r="G46" s="7"/>
      <c r="H46" s="7"/>
      <c r="I46" s="7"/>
      <c r="J46" s="7"/>
      <c r="K46" s="7"/>
      <c r="L46" s="7"/>
      <c r="M46" s="7"/>
    </row>
    <row r="47" spans="1:13" x14ac:dyDescent="0.25">
      <c r="A47" s="5" t="s">
        <v>87</v>
      </c>
      <c r="B47" s="12" t="s">
        <v>88</v>
      </c>
      <c r="C47" s="6">
        <v>22878730</v>
      </c>
      <c r="F47" s="7"/>
      <c r="G47" s="7"/>
      <c r="H47" s="7"/>
      <c r="I47" s="7"/>
      <c r="J47" s="7"/>
      <c r="K47" s="7"/>
      <c r="L47" s="7"/>
      <c r="M47" s="7"/>
    </row>
    <row r="48" spans="1:13" x14ac:dyDescent="0.25">
      <c r="A48" s="5" t="s">
        <v>89</v>
      </c>
      <c r="B48" s="12" t="s">
        <v>90</v>
      </c>
      <c r="C48" s="6" t="s">
        <v>6</v>
      </c>
      <c r="F48" s="7"/>
      <c r="G48" s="7"/>
      <c r="H48" s="7"/>
      <c r="I48" s="7"/>
      <c r="J48" s="7"/>
      <c r="K48" s="7"/>
      <c r="L48" s="7"/>
      <c r="M48" s="7"/>
    </row>
    <row r="49" spans="1:13" x14ac:dyDescent="0.25">
      <c r="A49" s="5" t="s">
        <v>91</v>
      </c>
      <c r="B49" s="12" t="s">
        <v>92</v>
      </c>
      <c r="C49" s="6" t="s">
        <v>6</v>
      </c>
      <c r="F49" s="7"/>
      <c r="G49" s="7"/>
      <c r="H49" s="7"/>
      <c r="I49" s="7"/>
      <c r="J49" s="7"/>
      <c r="K49" s="7"/>
      <c r="L49" s="7"/>
      <c r="M49" s="7"/>
    </row>
    <row r="50" spans="1:13" x14ac:dyDescent="0.25">
      <c r="A50" s="5" t="s">
        <v>93</v>
      </c>
      <c r="B50" s="12" t="s">
        <v>94</v>
      </c>
      <c r="C50" s="6" t="s">
        <v>6</v>
      </c>
      <c r="F50" s="7"/>
      <c r="G50" s="7"/>
      <c r="H50" s="7"/>
      <c r="I50" s="7"/>
      <c r="J50" s="7"/>
      <c r="K50" s="7"/>
      <c r="L50" s="7"/>
      <c r="M50" s="7"/>
    </row>
    <row r="51" spans="1:13" x14ac:dyDescent="0.25">
      <c r="A51" s="5" t="s">
        <v>95</v>
      </c>
      <c r="B51" s="12" t="s">
        <v>96</v>
      </c>
      <c r="C51" s="6" t="s">
        <v>6</v>
      </c>
      <c r="F51" s="7"/>
      <c r="G51" s="7"/>
      <c r="H51" s="7"/>
      <c r="I51" s="7"/>
      <c r="J51" s="7"/>
      <c r="K51" s="7"/>
      <c r="L51" s="7"/>
      <c r="M51" s="7"/>
    </row>
    <row r="52" spans="1:13" x14ac:dyDescent="0.25">
      <c r="A52" s="5" t="s">
        <v>97</v>
      </c>
      <c r="B52" s="12" t="s">
        <v>98</v>
      </c>
      <c r="C52" s="6" t="s">
        <v>6</v>
      </c>
      <c r="F52" s="7"/>
      <c r="G52" s="7"/>
      <c r="H52" s="7"/>
      <c r="I52" s="7"/>
      <c r="J52" s="7"/>
      <c r="K52" s="7"/>
      <c r="L52" s="7"/>
      <c r="M52" s="7"/>
    </row>
    <row r="53" spans="1:13" x14ac:dyDescent="0.25">
      <c r="A53" s="5" t="s">
        <v>99</v>
      </c>
      <c r="B53" s="12" t="s">
        <v>100</v>
      </c>
      <c r="C53" s="6">
        <v>9236393849</v>
      </c>
      <c r="F53" s="7"/>
      <c r="G53" s="7"/>
      <c r="H53" s="7"/>
      <c r="I53" s="7"/>
      <c r="J53" s="7"/>
      <c r="K53" s="7"/>
      <c r="L53" s="7"/>
      <c r="M53" s="7"/>
    </row>
    <row r="54" spans="1:13" x14ac:dyDescent="0.25">
      <c r="A54" s="5" t="s">
        <v>101</v>
      </c>
      <c r="B54" s="12" t="s">
        <v>102</v>
      </c>
      <c r="C54" s="6">
        <v>45034889</v>
      </c>
      <c r="F54" s="7"/>
      <c r="G54" s="7"/>
      <c r="H54" s="7"/>
      <c r="I54" s="7"/>
      <c r="J54" s="7"/>
      <c r="K54" s="7"/>
      <c r="L54" s="7"/>
      <c r="M54" s="7"/>
    </row>
    <row r="55" spans="1:13" x14ac:dyDescent="0.25">
      <c r="A55" s="5" t="s">
        <v>103</v>
      </c>
      <c r="B55" s="12" t="s">
        <v>104</v>
      </c>
      <c r="C55" s="6">
        <v>207140285</v>
      </c>
      <c r="F55" s="7"/>
      <c r="G55" s="7"/>
      <c r="H55" s="7"/>
      <c r="I55" s="7"/>
      <c r="J55" s="7"/>
      <c r="K55" s="7"/>
      <c r="L55" s="7"/>
      <c r="M55" s="7"/>
    </row>
    <row r="56" spans="1:13" x14ac:dyDescent="0.25">
      <c r="A56" s="5" t="s">
        <v>105</v>
      </c>
      <c r="B56" s="12" t="s">
        <v>106</v>
      </c>
      <c r="C56" s="6">
        <v>539092907</v>
      </c>
      <c r="F56" s="7"/>
      <c r="G56" s="7"/>
      <c r="H56" s="7"/>
      <c r="I56" s="7"/>
      <c r="J56" s="7"/>
      <c r="K56" s="7"/>
      <c r="L56" s="7"/>
      <c r="M56" s="7"/>
    </row>
    <row r="57" spans="1:13" x14ac:dyDescent="0.25">
      <c r="A57" s="5" t="s">
        <v>107</v>
      </c>
      <c r="B57" s="12" t="s">
        <v>108</v>
      </c>
      <c r="C57" s="6">
        <v>42261003</v>
      </c>
      <c r="F57" s="7"/>
      <c r="G57" s="7"/>
      <c r="H57" s="7"/>
      <c r="I57" s="7"/>
      <c r="J57" s="7"/>
      <c r="K57" s="7"/>
      <c r="L57" s="7"/>
      <c r="M57" s="7"/>
    </row>
    <row r="58" spans="1:13" x14ac:dyDescent="0.25">
      <c r="A58" s="5" t="s">
        <v>109</v>
      </c>
      <c r="B58" s="12" t="s">
        <v>110</v>
      </c>
      <c r="C58" s="6">
        <v>19913902</v>
      </c>
      <c r="F58" s="7"/>
      <c r="G58" s="7"/>
      <c r="H58" s="7"/>
      <c r="I58" s="7"/>
      <c r="J58" s="7"/>
      <c r="K58" s="7"/>
      <c r="L58" s="7"/>
      <c r="M58" s="7"/>
    </row>
    <row r="59" spans="1:13" x14ac:dyDescent="0.25">
      <c r="A59" s="5" t="s">
        <v>111</v>
      </c>
      <c r="B59" s="12" t="s">
        <v>112</v>
      </c>
      <c r="C59" s="6">
        <v>133058158</v>
      </c>
      <c r="F59" s="7"/>
      <c r="G59" s="7"/>
      <c r="H59" s="7"/>
      <c r="I59" s="7"/>
      <c r="J59" s="7"/>
      <c r="K59" s="7"/>
      <c r="L59" s="7"/>
      <c r="M59" s="7"/>
    </row>
    <row r="60" spans="1:13" x14ac:dyDescent="0.25">
      <c r="A60" s="5" t="s">
        <v>113</v>
      </c>
      <c r="B60" s="12" t="s">
        <v>114</v>
      </c>
      <c r="C60" s="6">
        <v>115320499</v>
      </c>
      <c r="F60" s="7"/>
      <c r="G60" s="7"/>
      <c r="H60" s="7"/>
      <c r="I60" s="7"/>
      <c r="J60" s="7"/>
      <c r="K60" s="7"/>
      <c r="L60" s="7"/>
      <c r="M60" s="7"/>
    </row>
    <row r="61" spans="1:13" x14ac:dyDescent="0.25">
      <c r="A61" s="5" t="s">
        <v>115</v>
      </c>
      <c r="B61" s="12" t="s">
        <v>116</v>
      </c>
      <c r="C61" s="6">
        <v>56774101</v>
      </c>
      <c r="F61" s="7"/>
      <c r="G61" s="7"/>
      <c r="H61" s="7"/>
      <c r="I61" s="7"/>
      <c r="J61" s="7"/>
      <c r="K61" s="7"/>
      <c r="L61" s="7"/>
      <c r="M61" s="7"/>
    </row>
    <row r="62" spans="1:13" x14ac:dyDescent="0.25">
      <c r="A62" s="5" t="s">
        <v>117</v>
      </c>
      <c r="B62" s="12" t="s">
        <v>118</v>
      </c>
      <c r="C62" s="6">
        <v>237656129</v>
      </c>
      <c r="F62" s="7"/>
      <c r="G62" s="7"/>
      <c r="H62" s="7"/>
      <c r="I62" s="7"/>
      <c r="J62" s="7"/>
      <c r="K62" s="7"/>
      <c r="L62" s="7"/>
      <c r="M62" s="7"/>
    </row>
    <row r="63" spans="1:13" x14ac:dyDescent="0.25">
      <c r="A63" s="5" t="s">
        <v>119</v>
      </c>
      <c r="B63" s="12" t="s">
        <v>120</v>
      </c>
      <c r="C63" s="6">
        <v>356760645</v>
      </c>
      <c r="F63" s="7"/>
      <c r="G63" s="7"/>
      <c r="H63" s="7"/>
      <c r="I63" s="7"/>
      <c r="J63" s="7"/>
      <c r="K63" s="7"/>
      <c r="L63" s="7"/>
      <c r="M63" s="7"/>
    </row>
    <row r="64" spans="1:13" x14ac:dyDescent="0.25">
      <c r="A64" s="5" t="s">
        <v>121</v>
      </c>
      <c r="B64" s="12" t="s">
        <v>122</v>
      </c>
      <c r="C64" s="6">
        <v>78425121</v>
      </c>
      <c r="F64" s="7"/>
      <c r="G64" s="7"/>
      <c r="H64" s="7"/>
      <c r="I64" s="7"/>
      <c r="J64" s="7"/>
      <c r="K64" s="7"/>
      <c r="L64" s="7"/>
      <c r="M64" s="7"/>
    </row>
    <row r="65" spans="1:13" x14ac:dyDescent="0.25">
      <c r="A65" s="5" t="s">
        <v>123</v>
      </c>
      <c r="B65" s="13" t="s">
        <v>124</v>
      </c>
      <c r="C65" s="8">
        <v>298441039</v>
      </c>
      <c r="F65" s="7"/>
      <c r="G65" s="7"/>
      <c r="H65" s="7"/>
      <c r="I65" s="7"/>
      <c r="J65" s="7"/>
      <c r="K65" s="7"/>
      <c r="L65" s="7"/>
      <c r="M65" s="7"/>
    </row>
    <row r="66" spans="1:13" x14ac:dyDescent="0.25">
      <c r="A66" s="5" t="s">
        <v>125</v>
      </c>
      <c r="B66" s="12" t="s">
        <v>125</v>
      </c>
      <c r="C66" s="6">
        <v>833041316</v>
      </c>
    </row>
    <row r="67" spans="1:13" x14ac:dyDescent="0.25">
      <c r="A67" s="5" t="s">
        <v>126</v>
      </c>
      <c r="B67" s="12" t="s">
        <v>127</v>
      </c>
      <c r="C67" s="6">
        <v>125348802</v>
      </c>
    </row>
    <row r="68" spans="1:13" x14ac:dyDescent="0.25">
      <c r="A68" s="5" t="s">
        <v>128</v>
      </c>
      <c r="B68" s="12" t="s">
        <v>129</v>
      </c>
      <c r="C68" s="6">
        <v>435930727</v>
      </c>
    </row>
    <row r="69" spans="1:13" x14ac:dyDescent="0.25">
      <c r="A69" s="5" t="s">
        <v>130</v>
      </c>
      <c r="B69" s="12" t="s">
        <v>131</v>
      </c>
      <c r="C69" s="6">
        <v>143724190</v>
      </c>
    </row>
    <row r="70" spans="1:13" x14ac:dyDescent="0.25">
      <c r="A70" s="5" t="s">
        <v>132</v>
      </c>
      <c r="B70" s="12" t="s">
        <v>133</v>
      </c>
      <c r="C70" s="6">
        <v>1526093799</v>
      </c>
    </row>
    <row r="71" spans="1:13" x14ac:dyDescent="0.25">
      <c r="A71" s="5" t="s">
        <v>134</v>
      </c>
      <c r="B71" s="12" t="s">
        <v>135</v>
      </c>
      <c r="C71" s="6">
        <v>118787448</v>
      </c>
    </row>
    <row r="72" spans="1:13" x14ac:dyDescent="0.25">
      <c r="A72" s="5" t="s">
        <v>136</v>
      </c>
      <c r="B72" s="12" t="s">
        <v>137</v>
      </c>
      <c r="C72" s="6">
        <v>195112464</v>
      </c>
    </row>
    <row r="73" spans="1:13" x14ac:dyDescent="0.25">
      <c r="A73" s="5" t="s">
        <v>138</v>
      </c>
      <c r="B73" s="12" t="s">
        <v>139</v>
      </c>
      <c r="C73" s="6">
        <v>866703289</v>
      </c>
    </row>
    <row r="74" spans="1:13" x14ac:dyDescent="0.25">
      <c r="A74" s="5" t="s">
        <v>140</v>
      </c>
      <c r="B74" s="12" t="s">
        <v>141</v>
      </c>
      <c r="C74" s="6">
        <v>19640818</v>
      </c>
    </row>
    <row r="75" spans="1:13" x14ac:dyDescent="0.25">
      <c r="A75" s="5" t="s">
        <v>142</v>
      </c>
      <c r="B75" s="12" t="s">
        <v>143</v>
      </c>
      <c r="C75" s="6">
        <v>116935703</v>
      </c>
    </row>
    <row r="76" spans="1:13" x14ac:dyDescent="0.25">
      <c r="A76" s="5" t="s">
        <v>144</v>
      </c>
      <c r="B76" s="12" t="s">
        <v>145</v>
      </c>
      <c r="C76" s="6">
        <v>15590918</v>
      </c>
    </row>
    <row r="77" spans="1:13" x14ac:dyDescent="0.25">
      <c r="A77" s="5" t="s">
        <v>146</v>
      </c>
      <c r="B77" s="12" t="s">
        <v>147</v>
      </c>
      <c r="C77" s="6">
        <v>152254724</v>
      </c>
    </row>
    <row r="78" spans="1:13" x14ac:dyDescent="0.25">
      <c r="A78" s="5" t="s">
        <v>148</v>
      </c>
      <c r="B78" s="12" t="s">
        <v>149</v>
      </c>
      <c r="C78" s="6">
        <v>292347379</v>
      </c>
    </row>
    <row r="79" spans="1:13" x14ac:dyDescent="0.25">
      <c r="A79" s="5" t="s">
        <v>150</v>
      </c>
      <c r="B79" s="12" t="s">
        <v>151</v>
      </c>
      <c r="C79" s="6">
        <v>65190189</v>
      </c>
    </row>
    <row r="80" spans="1:13" x14ac:dyDescent="0.25">
      <c r="A80" s="5" t="s">
        <v>152</v>
      </c>
      <c r="B80" s="12" t="s">
        <v>153</v>
      </c>
      <c r="C80" s="6">
        <v>45559054</v>
      </c>
    </row>
    <row r="81" spans="1:3" x14ac:dyDescent="0.25">
      <c r="A81" s="5" t="s">
        <v>154</v>
      </c>
      <c r="B81" s="12" t="s">
        <v>155</v>
      </c>
      <c r="C81" s="6">
        <v>209078433</v>
      </c>
    </row>
    <row r="82" spans="1:3" x14ac:dyDescent="0.25">
      <c r="A82" s="5" t="s">
        <v>156</v>
      </c>
      <c r="B82" s="12" t="s">
        <v>157</v>
      </c>
      <c r="C82" s="6">
        <v>252186325</v>
      </c>
    </row>
    <row r="83" spans="1:3" x14ac:dyDescent="0.25">
      <c r="A83" s="5" t="s">
        <v>158</v>
      </c>
      <c r="B83" s="12" t="s">
        <v>159</v>
      </c>
      <c r="C83" s="6">
        <v>737432020</v>
      </c>
    </row>
    <row r="84" spans="1:3" x14ac:dyDescent="0.25">
      <c r="A84" s="5" t="s">
        <v>160</v>
      </c>
      <c r="B84" s="12" t="s">
        <v>161</v>
      </c>
      <c r="C84" s="6">
        <v>168958200</v>
      </c>
    </row>
    <row r="85" spans="1:3" x14ac:dyDescent="0.25">
      <c r="A85" s="5" t="s">
        <v>162</v>
      </c>
      <c r="B85" s="12" t="s">
        <v>163</v>
      </c>
      <c r="C85" s="6">
        <v>495605489</v>
      </c>
    </row>
    <row r="86" spans="1:3" x14ac:dyDescent="0.25">
      <c r="A86" s="5" t="s">
        <v>164</v>
      </c>
      <c r="B86" s="12" t="s">
        <v>165</v>
      </c>
      <c r="C86" s="6">
        <v>55538538</v>
      </c>
    </row>
    <row r="87" spans="1:3" x14ac:dyDescent="0.25">
      <c r="A87" s="5" t="s">
        <v>166</v>
      </c>
      <c r="B87" s="12" t="s">
        <v>167</v>
      </c>
      <c r="C87" s="6">
        <v>237347664</v>
      </c>
    </row>
    <row r="88" spans="1:3" x14ac:dyDescent="0.25">
      <c r="A88" s="5" t="s">
        <v>168</v>
      </c>
      <c r="B88" s="12" t="s">
        <v>169</v>
      </c>
      <c r="C88" s="6">
        <v>58083898</v>
      </c>
    </row>
    <row r="89" spans="1:3" x14ac:dyDescent="0.25">
      <c r="A89" s="5" t="s">
        <v>170</v>
      </c>
      <c r="B89" s="12" t="s">
        <v>171</v>
      </c>
      <c r="C89" s="6">
        <v>88323711</v>
      </c>
    </row>
    <row r="90" spans="1:3" x14ac:dyDescent="0.25">
      <c r="A90" s="5" t="s">
        <v>172</v>
      </c>
      <c r="B90" s="10" t="s">
        <v>173</v>
      </c>
      <c r="C90" s="6">
        <v>4934225117</v>
      </c>
    </row>
    <row r="91" spans="1:3" x14ac:dyDescent="0.25">
      <c r="A91" s="5" t="s">
        <v>174</v>
      </c>
      <c r="B91" s="16" t="s">
        <v>175</v>
      </c>
      <c r="C91" s="6">
        <v>71546706</v>
      </c>
    </row>
    <row r="92" spans="1:3" x14ac:dyDescent="0.25">
      <c r="A92" s="5" t="s">
        <v>176</v>
      </c>
      <c r="B92" s="16" t="s">
        <v>177</v>
      </c>
      <c r="C92" s="6">
        <v>14400917</v>
      </c>
    </row>
    <row r="93" spans="1:3" x14ac:dyDescent="0.25">
      <c r="A93" s="5" t="s">
        <v>178</v>
      </c>
      <c r="B93" s="16" t="s">
        <v>179</v>
      </c>
      <c r="C93" s="6">
        <v>6317429</v>
      </c>
    </row>
    <row r="94" spans="1:3" x14ac:dyDescent="0.25">
      <c r="A94" s="5" t="s">
        <v>180</v>
      </c>
      <c r="B94" s="16" t="s">
        <v>181</v>
      </c>
      <c r="C94" s="6">
        <v>27699461</v>
      </c>
    </row>
    <row r="95" spans="1:3" x14ac:dyDescent="0.25">
      <c r="A95" s="5" t="s">
        <v>182</v>
      </c>
      <c r="B95" s="15" t="s">
        <v>183</v>
      </c>
      <c r="C95" s="6">
        <v>16495663209</v>
      </c>
    </row>
    <row r="96" spans="1:3" x14ac:dyDescent="0.25">
      <c r="A96" s="5" t="s">
        <v>184</v>
      </c>
      <c r="B96" s="14" t="s">
        <v>185</v>
      </c>
      <c r="C96" s="6">
        <v>816275243</v>
      </c>
    </row>
    <row r="97" spans="1:3" x14ac:dyDescent="0.25">
      <c r="A97" s="5" t="s">
        <v>186</v>
      </c>
      <c r="B97" s="16" t="s">
        <v>187</v>
      </c>
      <c r="C97" s="6">
        <v>214224642</v>
      </c>
    </row>
    <row r="98" spans="1:3" x14ac:dyDescent="0.25">
      <c r="A98" s="5" t="s">
        <v>188</v>
      </c>
      <c r="B98" s="16" t="s">
        <v>189</v>
      </c>
      <c r="C98" s="6">
        <v>5127669</v>
      </c>
    </row>
    <row r="99" spans="1:3" x14ac:dyDescent="0.25">
      <c r="A99" s="5" t="s">
        <v>190</v>
      </c>
      <c r="B99" s="16" t="s">
        <v>191</v>
      </c>
      <c r="C99" s="6">
        <v>48967808</v>
      </c>
    </row>
    <row r="100" spans="1:3" x14ac:dyDescent="0.25">
      <c r="A100" s="5" t="s">
        <v>192</v>
      </c>
      <c r="B100" s="16" t="s">
        <v>193</v>
      </c>
      <c r="C100" s="6">
        <v>4994968</v>
      </c>
    </row>
    <row r="101" spans="1:3" x14ac:dyDescent="0.25">
      <c r="A101" s="5" t="s">
        <v>194</v>
      </c>
      <c r="B101" s="16" t="s">
        <v>195</v>
      </c>
      <c r="C101" s="6">
        <v>12635896</v>
      </c>
    </row>
    <row r="102" spans="1:3" x14ac:dyDescent="0.25">
      <c r="A102" s="5" t="s">
        <v>196</v>
      </c>
      <c r="B102" s="16" t="s">
        <v>197</v>
      </c>
      <c r="C102" s="6">
        <v>228444430</v>
      </c>
    </row>
    <row r="103" spans="1:3" x14ac:dyDescent="0.25">
      <c r="A103" s="5" t="s">
        <v>198</v>
      </c>
      <c r="B103" s="16" t="s">
        <v>199</v>
      </c>
      <c r="C103" s="6">
        <v>839601</v>
      </c>
    </row>
    <row r="104" spans="1:3" x14ac:dyDescent="0.25">
      <c r="A104" s="5" t="s">
        <v>200</v>
      </c>
      <c r="B104" s="16" t="s">
        <v>201</v>
      </c>
      <c r="C104" s="6">
        <v>13227674</v>
      </c>
    </row>
    <row r="105" spans="1:3" x14ac:dyDescent="0.25">
      <c r="A105" s="5" t="s">
        <v>202</v>
      </c>
      <c r="B105" s="16" t="s">
        <v>203</v>
      </c>
      <c r="C105" s="6">
        <v>1741023533</v>
      </c>
    </row>
    <row r="106" spans="1:3" x14ac:dyDescent="0.25">
      <c r="A106" s="5" t="s">
        <v>204</v>
      </c>
      <c r="B106" s="16" t="s">
        <v>205</v>
      </c>
      <c r="C106" s="6">
        <v>24500364</v>
      </c>
    </row>
    <row r="107" spans="1:3" x14ac:dyDescent="0.25">
      <c r="A107" s="5" t="s">
        <v>206</v>
      </c>
      <c r="B107" s="16" t="s">
        <v>207</v>
      </c>
      <c r="C107" s="6">
        <v>669072</v>
      </c>
    </row>
    <row r="108" spans="1:3" x14ac:dyDescent="0.25">
      <c r="A108" s="5" t="s">
        <v>208</v>
      </c>
      <c r="B108" s="16" t="s">
        <v>209</v>
      </c>
      <c r="C108" s="6">
        <v>1231670</v>
      </c>
    </row>
    <row r="109" spans="1:3" x14ac:dyDescent="0.25">
      <c r="A109" s="5" t="s">
        <v>210</v>
      </c>
      <c r="B109" s="16" t="s">
        <v>211</v>
      </c>
      <c r="C109" s="6">
        <v>8858</v>
      </c>
    </row>
    <row r="110" spans="1:3" x14ac:dyDescent="0.25">
      <c r="A110" s="5" t="s">
        <v>212</v>
      </c>
      <c r="B110" s="16" t="s">
        <v>213</v>
      </c>
      <c r="C110" s="6">
        <v>1597958</v>
      </c>
    </row>
    <row r="111" spans="1:3" x14ac:dyDescent="0.25">
      <c r="A111" s="5" t="s">
        <v>214</v>
      </c>
      <c r="B111" s="16" t="s">
        <v>215</v>
      </c>
      <c r="C111" s="6">
        <v>9235842</v>
      </c>
    </row>
    <row r="112" spans="1:3" x14ac:dyDescent="0.25">
      <c r="A112" s="5" t="s">
        <v>216</v>
      </c>
      <c r="B112" s="16" t="s">
        <v>217</v>
      </c>
      <c r="C112" s="6">
        <v>8863256</v>
      </c>
    </row>
    <row r="113" spans="1:3" x14ac:dyDescent="0.25">
      <c r="A113" s="5" t="s">
        <v>218</v>
      </c>
      <c r="B113" s="16" t="s">
        <v>219</v>
      </c>
      <c r="C113" s="6">
        <v>73695524</v>
      </c>
    </row>
    <row r="114" spans="1:3" x14ac:dyDescent="0.25">
      <c r="A114" s="5" t="s">
        <v>220</v>
      </c>
      <c r="B114" s="16" t="s">
        <v>221</v>
      </c>
      <c r="C114" s="6">
        <v>27947537</v>
      </c>
    </row>
    <row r="115" spans="1:3" x14ac:dyDescent="0.25">
      <c r="A115" s="5" t="s">
        <v>222</v>
      </c>
      <c r="B115" s="16" t="s">
        <v>223</v>
      </c>
      <c r="C115" s="6">
        <v>24113</v>
      </c>
    </row>
    <row r="116" spans="1:3" x14ac:dyDescent="0.25">
      <c r="A116" s="5" t="s">
        <v>224</v>
      </c>
      <c r="B116" s="16" t="s">
        <v>225</v>
      </c>
      <c r="C116" s="6">
        <v>49317713</v>
      </c>
    </row>
    <row r="117" spans="1:3" x14ac:dyDescent="0.25">
      <c r="A117" s="5" t="s">
        <v>226</v>
      </c>
      <c r="B117" s="16" t="s">
        <v>227</v>
      </c>
      <c r="C117" s="6">
        <v>36314088</v>
      </c>
    </row>
    <row r="118" spans="1:3" x14ac:dyDescent="0.25">
      <c r="A118" s="5" t="s">
        <v>228</v>
      </c>
      <c r="B118" s="16" t="s">
        <v>229</v>
      </c>
      <c r="C118" s="6">
        <v>279538</v>
      </c>
    </row>
    <row r="119" spans="1:3" x14ac:dyDescent="0.25">
      <c r="A119" s="5" t="s">
        <v>230</v>
      </c>
      <c r="B119" s="16" t="s">
        <v>231</v>
      </c>
      <c r="C119" s="6" t="s">
        <v>6</v>
      </c>
    </row>
    <row r="120" spans="1:3" x14ac:dyDescent="0.25">
      <c r="A120" s="5" t="s">
        <v>232</v>
      </c>
      <c r="B120" s="16" t="s">
        <v>233</v>
      </c>
      <c r="C120" s="6" t="s">
        <v>6</v>
      </c>
    </row>
    <row r="121" spans="1:3" x14ac:dyDescent="0.25">
      <c r="A121" s="5" t="s">
        <v>234</v>
      </c>
      <c r="B121" s="16" t="s">
        <v>235</v>
      </c>
      <c r="C121" s="6">
        <v>7529884</v>
      </c>
    </row>
    <row r="122" spans="1:3" x14ac:dyDescent="0.25">
      <c r="A122" s="5" t="s">
        <v>236</v>
      </c>
      <c r="B122" s="16" t="s">
        <v>237</v>
      </c>
      <c r="C122" s="6" t="s">
        <v>6</v>
      </c>
    </row>
    <row r="123" spans="1:3" x14ac:dyDescent="0.25">
      <c r="A123" s="5" t="s">
        <v>238</v>
      </c>
      <c r="B123" s="16" t="s">
        <v>239</v>
      </c>
      <c r="C123" s="6">
        <v>532309</v>
      </c>
    </row>
    <row r="124" spans="1:3" x14ac:dyDescent="0.25">
      <c r="A124" s="5" t="s">
        <v>240</v>
      </c>
      <c r="B124" s="16" t="s">
        <v>241</v>
      </c>
      <c r="C124" s="6">
        <v>5714492</v>
      </c>
    </row>
    <row r="125" spans="1:3" x14ac:dyDescent="0.25">
      <c r="A125" s="5" t="s">
        <v>242</v>
      </c>
      <c r="B125" s="16" t="s">
        <v>243</v>
      </c>
      <c r="C125" s="6">
        <v>5847786</v>
      </c>
    </row>
    <row r="126" spans="1:3" x14ac:dyDescent="0.25">
      <c r="A126" s="5" t="s">
        <v>244</v>
      </c>
      <c r="B126" s="16" t="s">
        <v>245</v>
      </c>
      <c r="C126" s="6">
        <v>5086235</v>
      </c>
    </row>
    <row r="127" spans="1:3" x14ac:dyDescent="0.25">
      <c r="A127" s="5" t="s">
        <v>246</v>
      </c>
      <c r="B127" s="16" t="s">
        <v>247</v>
      </c>
      <c r="C127" s="6">
        <v>519504</v>
      </c>
    </row>
    <row r="128" spans="1:3" x14ac:dyDescent="0.25">
      <c r="A128" s="5" t="s">
        <v>248</v>
      </c>
      <c r="B128" s="16" t="s">
        <v>248</v>
      </c>
      <c r="C128" s="6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ED16-5AED-4AA1-8C02-B38D89259A6D}">
  <dimension ref="A1:BO7"/>
  <sheetViews>
    <sheetView tabSelected="1" workbookViewId="0">
      <selection activeCell="B2" sqref="B2"/>
    </sheetView>
  </sheetViews>
  <sheetFormatPr defaultRowHeight="14.4" x14ac:dyDescent="0.3"/>
  <cols>
    <col min="1" max="1" width="12.5546875" bestFit="1" customWidth="1"/>
  </cols>
  <sheetData>
    <row r="1" spans="1:67" x14ac:dyDescent="0.3">
      <c r="A1" t="s">
        <v>328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269</v>
      </c>
      <c r="P1" t="s">
        <v>270</v>
      </c>
      <c r="Q1" t="s">
        <v>271</v>
      </c>
      <c r="R1" t="s">
        <v>272</v>
      </c>
      <c r="S1" t="s">
        <v>273</v>
      </c>
      <c r="T1" t="s">
        <v>274</v>
      </c>
      <c r="U1" t="s">
        <v>275</v>
      </c>
      <c r="V1" t="s">
        <v>276</v>
      </c>
      <c r="W1" t="s">
        <v>277</v>
      </c>
      <c r="X1" t="s">
        <v>278</v>
      </c>
      <c r="Y1" t="s">
        <v>279</v>
      </c>
      <c r="Z1" t="s">
        <v>280</v>
      </c>
      <c r="AA1" t="s">
        <v>281</v>
      </c>
      <c r="AB1" t="s">
        <v>282</v>
      </c>
      <c r="AC1" t="s">
        <v>283</v>
      </c>
      <c r="AD1" t="s">
        <v>284</v>
      </c>
      <c r="AE1" t="s">
        <v>285</v>
      </c>
      <c r="AF1" t="s">
        <v>286</v>
      </c>
      <c r="AG1" t="s">
        <v>287</v>
      </c>
      <c r="AH1" t="s">
        <v>288</v>
      </c>
      <c r="AI1" t="s">
        <v>289</v>
      </c>
      <c r="AJ1" t="s">
        <v>290</v>
      </c>
      <c r="AK1" t="s">
        <v>291</v>
      </c>
      <c r="AL1" t="s">
        <v>292</v>
      </c>
      <c r="AM1" t="s">
        <v>293</v>
      </c>
      <c r="AN1" t="s">
        <v>294</v>
      </c>
      <c r="AO1" t="s">
        <v>295</v>
      </c>
      <c r="AP1" t="s">
        <v>296</v>
      </c>
      <c r="AQ1" t="s">
        <v>297</v>
      </c>
      <c r="AR1" t="s">
        <v>298</v>
      </c>
      <c r="AS1" t="s">
        <v>299</v>
      </c>
      <c r="AT1" t="s">
        <v>300</v>
      </c>
      <c r="AU1" t="s">
        <v>301</v>
      </c>
      <c r="AV1" t="s">
        <v>302</v>
      </c>
      <c r="AW1" t="s">
        <v>303</v>
      </c>
      <c r="AX1" t="s">
        <v>304</v>
      </c>
      <c r="AY1" t="s">
        <v>305</v>
      </c>
      <c r="AZ1" t="s">
        <v>306</v>
      </c>
      <c r="BA1" t="s">
        <v>307</v>
      </c>
      <c r="BB1" t="s">
        <v>308</v>
      </c>
      <c r="BC1" t="s">
        <v>309</v>
      </c>
      <c r="BD1" t="s">
        <v>310</v>
      </c>
      <c r="BE1" t="s">
        <v>311</v>
      </c>
      <c r="BF1" t="s">
        <v>312</v>
      </c>
      <c r="BG1" t="s">
        <v>313</v>
      </c>
      <c r="BH1" t="s">
        <v>314</v>
      </c>
      <c r="BI1" t="s">
        <v>315</v>
      </c>
      <c r="BJ1" t="s">
        <v>316</v>
      </c>
      <c r="BK1" t="s">
        <v>317</v>
      </c>
      <c r="BL1" t="s">
        <v>318</v>
      </c>
      <c r="BM1" t="s">
        <v>319</v>
      </c>
      <c r="BN1" t="s">
        <v>320</v>
      </c>
      <c r="BO1" t="s">
        <v>321</v>
      </c>
    </row>
    <row r="2" spans="1:67" x14ac:dyDescent="0.3">
      <c r="A2" t="s">
        <v>322</v>
      </c>
      <c r="B2" s="17">
        <v>1.478</v>
      </c>
      <c r="C2" s="17">
        <v>5.5590000000000002</v>
      </c>
      <c r="D2" s="17">
        <v>8.0280000000000005</v>
      </c>
      <c r="E2" s="17">
        <v>2.8780000000000001</v>
      </c>
      <c r="F2" s="17">
        <v>6.8490000000000002</v>
      </c>
      <c r="G2" s="17">
        <v>2.9449999999999998</v>
      </c>
      <c r="H2" s="17">
        <v>2.79</v>
      </c>
      <c r="I2" s="17">
        <v>2.298</v>
      </c>
      <c r="J2" s="17">
        <v>8.7449999999999992</v>
      </c>
      <c r="K2" s="17">
        <v>6.3630000000000004</v>
      </c>
      <c r="L2" s="17">
        <v>3.6520000000000001</v>
      </c>
      <c r="M2" s="17">
        <v>4.5389999999999997</v>
      </c>
      <c r="N2" s="17">
        <v>6.8019999999999996</v>
      </c>
      <c r="O2" s="17">
        <v>4.7039999999999997</v>
      </c>
      <c r="P2" s="17">
        <v>1.861</v>
      </c>
      <c r="Q2" s="17">
        <v>7.91</v>
      </c>
      <c r="R2" s="17">
        <v>5.7789999999999999</v>
      </c>
      <c r="S2" s="17">
        <v>7.2690000000000001</v>
      </c>
      <c r="T2" s="17">
        <v>7.3070000000000004</v>
      </c>
      <c r="U2" s="17">
        <v>5.5679999999999996</v>
      </c>
      <c r="V2" s="17">
        <v>0.86399999999999999</v>
      </c>
      <c r="W2" s="17">
        <v>4.0060000000000002</v>
      </c>
      <c r="X2" s="17">
        <v>3.3380000000000001</v>
      </c>
      <c r="Y2" s="17">
        <v>3.3769999999999998</v>
      </c>
      <c r="Z2" s="17">
        <v>3.802</v>
      </c>
      <c r="AA2" s="17">
        <v>2.3149999999999999</v>
      </c>
      <c r="AB2" s="17">
        <v>6.5940000000000003</v>
      </c>
      <c r="AC2" s="17">
        <v>3.7080000000000002</v>
      </c>
      <c r="AD2" s="17">
        <v>2.6549999999999998</v>
      </c>
      <c r="AE2" s="17">
        <v>6.6449999999999996</v>
      </c>
      <c r="AF2" s="17">
        <v>10.372999999999999</v>
      </c>
      <c r="AG2" s="17">
        <v>3.7280000000000002</v>
      </c>
      <c r="AH2" s="17">
        <v>3.468</v>
      </c>
      <c r="AI2" s="17">
        <v>4.0919999999999996</v>
      </c>
      <c r="AJ2" s="17">
        <v>8.9749999999999996</v>
      </c>
      <c r="AK2" s="17">
        <v>5.1429999999999998</v>
      </c>
      <c r="AL2" s="17">
        <v>6.7270000000000003</v>
      </c>
      <c r="AM2" s="17">
        <v>2.2610000000000001</v>
      </c>
      <c r="AN2" s="17">
        <v>6.8540000000000001</v>
      </c>
      <c r="AO2" s="17">
        <v>1.0529999999999999</v>
      </c>
      <c r="AP2" s="17">
        <v>3.3250000000000002</v>
      </c>
      <c r="AQ2" s="17">
        <v>3.9929999999999999</v>
      </c>
      <c r="AR2" s="17">
        <v>5.4569999999999999</v>
      </c>
      <c r="AS2" s="17">
        <v>3.4359999999999999</v>
      </c>
      <c r="AT2" s="17">
        <v>3.52</v>
      </c>
      <c r="AU2" s="17">
        <v>7.0730000000000004</v>
      </c>
      <c r="AV2" s="17">
        <v>12.037000000000001</v>
      </c>
      <c r="AW2" s="17">
        <v>7.3470000000000004</v>
      </c>
      <c r="AX2" s="17">
        <v>1.877</v>
      </c>
      <c r="AY2" s="17">
        <v>2.923</v>
      </c>
      <c r="AZ2" s="17">
        <v>2.9540000000000002</v>
      </c>
      <c r="BA2" s="17">
        <v>4.2130000000000001</v>
      </c>
      <c r="BB2" s="17">
        <v>5.4779999999999998</v>
      </c>
      <c r="BC2" s="17">
        <v>3.3719999999999999</v>
      </c>
      <c r="BD2" s="17">
        <v>5.9740000000000002</v>
      </c>
      <c r="BE2" s="17">
        <v>6.08</v>
      </c>
      <c r="BF2" s="17">
        <v>4.0430000000000001</v>
      </c>
      <c r="BG2" s="17">
        <v>6.0179999999999998</v>
      </c>
      <c r="BH2" s="17">
        <v>7.6890000000000001</v>
      </c>
      <c r="BI2" s="17">
        <v>4.9539999999999997</v>
      </c>
      <c r="BJ2" s="17">
        <v>5.0910000000000002</v>
      </c>
      <c r="BK2" s="17">
        <v>5.8620000000000001</v>
      </c>
      <c r="BL2" s="17">
        <v>1.915</v>
      </c>
      <c r="BM2" s="17">
        <v>2.6459999999999999</v>
      </c>
      <c r="BN2" s="17">
        <v>6.1790000000000003</v>
      </c>
      <c r="BO2" s="17">
        <v>5.8550000000000004</v>
      </c>
    </row>
    <row r="3" spans="1:67" x14ac:dyDescent="0.3">
      <c r="A3" t="s">
        <v>323</v>
      </c>
      <c r="B3" s="17">
        <v>11.425000000000001</v>
      </c>
      <c r="C3" s="17">
        <v>12.16</v>
      </c>
      <c r="D3" s="17">
        <v>8.2710000000000008</v>
      </c>
      <c r="E3" s="17">
        <v>4.0549999999999997</v>
      </c>
      <c r="F3" s="17">
        <v>10.481</v>
      </c>
      <c r="G3" s="17">
        <v>7.71</v>
      </c>
      <c r="H3" s="17">
        <v>7.0439999999999996</v>
      </c>
      <c r="I3" s="17">
        <v>6.2569999999999997</v>
      </c>
      <c r="J3" s="17">
        <v>8.8849999999999998</v>
      </c>
      <c r="K3" s="17">
        <v>7.3840000000000003</v>
      </c>
      <c r="L3" s="17">
        <v>7.5250000000000004</v>
      </c>
      <c r="M3" s="17">
        <v>9.4060000000000006</v>
      </c>
      <c r="N3" s="17">
        <v>7.0919999999999996</v>
      </c>
      <c r="O3" s="17">
        <v>7.4610000000000003</v>
      </c>
      <c r="P3" s="17">
        <v>5.44</v>
      </c>
      <c r="Q3" s="17">
        <v>6.1230000000000002</v>
      </c>
      <c r="R3" s="17">
        <v>7.048</v>
      </c>
      <c r="S3" s="17">
        <v>7.8360000000000003</v>
      </c>
      <c r="T3" s="17">
        <v>6.8840000000000003</v>
      </c>
      <c r="U3" s="17">
        <v>5.6630000000000003</v>
      </c>
      <c r="V3" s="17">
        <v>3.93</v>
      </c>
      <c r="W3" s="17">
        <v>8.0549999999999997</v>
      </c>
      <c r="X3" s="17">
        <v>5.6210000000000004</v>
      </c>
      <c r="Y3" s="17">
        <v>6.39</v>
      </c>
      <c r="Z3" s="17">
        <v>6.0830000000000002</v>
      </c>
      <c r="AA3" s="17">
        <v>5.8520000000000003</v>
      </c>
      <c r="AB3" s="17">
        <v>5.99</v>
      </c>
      <c r="AC3" s="17">
        <v>6.7469999999999999</v>
      </c>
      <c r="AD3" s="17">
        <v>6.5650000000000004</v>
      </c>
      <c r="AE3" s="17">
        <v>14.904</v>
      </c>
      <c r="AF3" s="17">
        <v>11.326000000000001</v>
      </c>
      <c r="AG3" s="17">
        <v>6.1</v>
      </c>
      <c r="AH3" s="17">
        <v>6.4089999999999998</v>
      </c>
      <c r="AI3" s="17">
        <v>6.56</v>
      </c>
      <c r="AJ3" s="17">
        <v>6.1559999999999997</v>
      </c>
      <c r="AK3" s="17">
        <v>5.2290000000000001</v>
      </c>
      <c r="AL3" s="17">
        <v>10.047000000000001</v>
      </c>
      <c r="AM3" s="17">
        <v>7.1319999999999997</v>
      </c>
      <c r="AN3" s="17">
        <v>5.4889999999999999</v>
      </c>
      <c r="AO3" s="17">
        <v>5.569</v>
      </c>
      <c r="AP3" s="17">
        <v>7.2450000000000001</v>
      </c>
      <c r="AQ3" s="17">
        <v>7.3609999999999998</v>
      </c>
      <c r="AR3" s="17">
        <v>6.9880000000000004</v>
      </c>
      <c r="AS3" s="17">
        <v>5.59</v>
      </c>
      <c r="AT3" s="17">
        <v>7.6859999999999999</v>
      </c>
      <c r="AU3" s="17">
        <v>7.3959999999999999</v>
      </c>
      <c r="AV3" s="17">
        <v>8.6340000000000003</v>
      </c>
      <c r="AW3" s="17">
        <v>8.9969999999999999</v>
      </c>
      <c r="AX3" s="17">
        <v>3.6840000000000002</v>
      </c>
      <c r="AY3" s="17">
        <v>6.8479999999999999</v>
      </c>
      <c r="AZ3" s="17">
        <v>6.81</v>
      </c>
      <c r="BA3" s="17">
        <v>6.4939999999999998</v>
      </c>
      <c r="BB3" s="17">
        <v>13.194000000000001</v>
      </c>
      <c r="BC3" s="17">
        <v>5.827</v>
      </c>
      <c r="BD3" s="17">
        <v>11.129</v>
      </c>
      <c r="BE3" s="17">
        <v>5.718</v>
      </c>
      <c r="BF3" s="17">
        <v>10.875</v>
      </c>
      <c r="BG3" s="17">
        <v>5.5259999999999998</v>
      </c>
      <c r="BH3" s="17">
        <v>6.2409999999999997</v>
      </c>
      <c r="BI3" s="17">
        <v>9.2420000000000009</v>
      </c>
      <c r="BJ3" s="17">
        <v>5.8150000000000004</v>
      </c>
      <c r="BK3" s="17">
        <v>7.1719999999999997</v>
      </c>
      <c r="BL3" s="17">
        <v>6.2590000000000003</v>
      </c>
      <c r="BM3" s="17">
        <v>8.6950000000000003</v>
      </c>
      <c r="BN3" s="17">
        <v>7.242</v>
      </c>
      <c r="BO3" s="17">
        <v>7.609</v>
      </c>
    </row>
    <row r="4" spans="1:67" x14ac:dyDescent="0.3">
      <c r="A4" t="s">
        <v>324</v>
      </c>
      <c r="B4" s="17">
        <v>8.5579999999999998</v>
      </c>
      <c r="C4" s="17">
        <v>8.8000000000000007</v>
      </c>
      <c r="D4" s="17">
        <v>6.9829999999999997</v>
      </c>
      <c r="E4" s="17">
        <v>1.085</v>
      </c>
      <c r="F4" s="17">
        <v>7.7839999999999998</v>
      </c>
      <c r="G4" s="17">
        <v>5.3789999999999996</v>
      </c>
      <c r="H4" s="17">
        <v>9.4139999999999997</v>
      </c>
      <c r="I4" s="17">
        <v>2.9380000000000002</v>
      </c>
      <c r="J4" s="17">
        <v>12.513999999999999</v>
      </c>
      <c r="K4" s="17">
        <v>8.68</v>
      </c>
      <c r="L4" s="17">
        <v>6.3079999999999998</v>
      </c>
      <c r="M4" s="17">
        <v>14.968999999999999</v>
      </c>
      <c r="N4" s="17">
        <v>11.614000000000001</v>
      </c>
      <c r="O4" s="17">
        <v>5.8920000000000003</v>
      </c>
      <c r="P4" s="17">
        <v>4.3289999999999997</v>
      </c>
      <c r="Q4" s="17">
        <v>7.2649999999999997</v>
      </c>
      <c r="R4" s="17">
        <v>9.3239999999999998</v>
      </c>
      <c r="S4" s="17">
        <v>8.0570000000000004</v>
      </c>
      <c r="T4" s="17">
        <v>10.253</v>
      </c>
      <c r="U4" s="17">
        <v>5.9329999999999998</v>
      </c>
      <c r="V4" s="17">
        <v>0.77500000000000002</v>
      </c>
      <c r="W4" s="17">
        <v>11.958</v>
      </c>
      <c r="X4" s="17">
        <v>5.1680000000000001</v>
      </c>
      <c r="Y4" s="17">
        <v>7.0010000000000003</v>
      </c>
      <c r="Z4" s="17">
        <v>6.3170000000000002</v>
      </c>
      <c r="AA4" s="17">
        <v>5.6790000000000003</v>
      </c>
      <c r="AB4" s="17">
        <v>7.2919999999999998</v>
      </c>
      <c r="AC4" s="17">
        <v>1.6339999999999999</v>
      </c>
      <c r="AD4" s="17">
        <v>7.83</v>
      </c>
      <c r="AE4" s="17">
        <v>15.347</v>
      </c>
      <c r="AF4" s="17">
        <v>16.634</v>
      </c>
      <c r="AG4" s="17">
        <v>7.7279999999999998</v>
      </c>
      <c r="AH4" s="17">
        <v>3.653</v>
      </c>
      <c r="AI4" s="17">
        <v>6.5759999999999996</v>
      </c>
      <c r="AJ4" s="17">
        <v>7.79</v>
      </c>
      <c r="AK4" s="17">
        <v>2.14</v>
      </c>
      <c r="AL4" s="17">
        <v>8.0389999999999997</v>
      </c>
      <c r="AM4" s="17">
        <v>3.129</v>
      </c>
      <c r="AN4" s="17">
        <v>9.5060000000000002</v>
      </c>
      <c r="AO4" s="17">
        <v>4.4619999999999997</v>
      </c>
      <c r="AP4" s="17">
        <v>12.340999999999999</v>
      </c>
      <c r="AQ4" s="17">
        <v>1.9239999999999999</v>
      </c>
      <c r="AR4" s="17">
        <v>7.0010000000000003</v>
      </c>
      <c r="AS4" s="17">
        <v>6.59</v>
      </c>
      <c r="AT4" s="17">
        <v>9.2680000000000007</v>
      </c>
      <c r="AU4" s="17">
        <v>8.6950000000000003</v>
      </c>
      <c r="AV4" s="17">
        <v>9.5869999999999997</v>
      </c>
      <c r="AW4" s="17">
        <v>10.282999999999999</v>
      </c>
      <c r="AX4" s="17">
        <v>4.5730000000000004</v>
      </c>
      <c r="AY4" s="17">
        <v>8.5359999999999996</v>
      </c>
      <c r="AZ4" s="17">
        <v>8.3859999999999992</v>
      </c>
      <c r="BA4" s="17">
        <v>3.1030000000000002</v>
      </c>
      <c r="BB4" s="17">
        <v>11.013999999999999</v>
      </c>
      <c r="BC4" s="17">
        <v>-0.88600000000000001</v>
      </c>
      <c r="BD4" s="17">
        <v>8.2129999999999992</v>
      </c>
      <c r="BE4" s="17">
        <v>4.7220000000000004</v>
      </c>
      <c r="BF4" s="17">
        <v>6.5019999999999998</v>
      </c>
      <c r="BG4" s="17">
        <v>4.4880000000000004</v>
      </c>
      <c r="BH4" s="17">
        <v>10.521000000000001</v>
      </c>
      <c r="BI4" s="17">
        <v>10.952999999999999</v>
      </c>
      <c r="BJ4" s="17">
        <v>4.7409999999999997</v>
      </c>
      <c r="BK4" s="17">
        <v>3.8119999999999998</v>
      </c>
      <c r="BL4" s="17">
        <v>3.05</v>
      </c>
      <c r="BM4" s="17">
        <v>7.1639999999999997</v>
      </c>
      <c r="BN4" s="17">
        <v>4.8780000000000001</v>
      </c>
      <c r="BO4" s="17">
        <v>7.32</v>
      </c>
    </row>
    <row r="5" spans="1:67" x14ac:dyDescent="0.3">
      <c r="A5" t="s">
        <v>325</v>
      </c>
      <c r="B5" s="17">
        <v>6.157</v>
      </c>
      <c r="C5" s="17">
        <v>1.89</v>
      </c>
      <c r="D5" s="17">
        <v>5.6920000000000002</v>
      </c>
      <c r="E5" s="17">
        <v>8.3059999999999992</v>
      </c>
      <c r="F5" s="17">
        <v>7.17</v>
      </c>
      <c r="G5" s="17">
        <v>3.6760000000000002</v>
      </c>
      <c r="H5" s="17">
        <v>2.7759999999999998</v>
      </c>
      <c r="I5" s="17">
        <v>2.153</v>
      </c>
      <c r="J5" s="17">
        <v>10.97</v>
      </c>
      <c r="K5" s="17">
        <v>6.1859999999999999</v>
      </c>
      <c r="L5" s="17">
        <v>7.6879999999999997</v>
      </c>
      <c r="M5" s="17">
        <v>5.98</v>
      </c>
      <c r="N5" s="17">
        <v>2.339</v>
      </c>
      <c r="O5" s="17">
        <v>3.117</v>
      </c>
      <c r="P5" s="17">
        <v>2.347</v>
      </c>
      <c r="Q5" s="17">
        <v>2.5249999999999999</v>
      </c>
      <c r="R5" s="17">
        <v>9.7989999999999995</v>
      </c>
      <c r="S5" s="17">
        <v>4.05</v>
      </c>
      <c r="T5" s="17">
        <v>5.4189999999999996</v>
      </c>
      <c r="U5" s="17">
        <v>8.7159999999999993</v>
      </c>
      <c r="V5" s="17">
        <v>5.1639999999999997</v>
      </c>
      <c r="W5" s="17">
        <v>2.3039999999999998</v>
      </c>
      <c r="X5" s="17">
        <v>5.657</v>
      </c>
      <c r="Y5" s="17">
        <v>3.8330000000000002</v>
      </c>
      <c r="Z5" s="17">
        <v>3.5110000000000001</v>
      </c>
      <c r="AA5" s="17">
        <v>4.18</v>
      </c>
      <c r="AB5" s="17">
        <v>5.2389999999999999</v>
      </c>
      <c r="AC5" s="17">
        <v>2.7770000000000001</v>
      </c>
      <c r="AD5" s="17">
        <v>3.7290000000000001</v>
      </c>
      <c r="AE5" s="17">
        <v>3.278</v>
      </c>
      <c r="AF5" s="17">
        <v>2.734</v>
      </c>
      <c r="AG5" s="17">
        <v>0.82099999999999995</v>
      </c>
      <c r="AH5" s="17">
        <v>5.4390000000000001</v>
      </c>
      <c r="AI5" s="17">
        <v>2.8029999999999999</v>
      </c>
      <c r="AJ5" s="17">
        <v>2.6749999999999998</v>
      </c>
      <c r="AK5" s="17">
        <v>9.1430000000000007</v>
      </c>
      <c r="AL5" s="17">
        <v>4.05</v>
      </c>
      <c r="AM5" s="17">
        <v>1.36</v>
      </c>
      <c r="AN5" s="17">
        <v>3.04</v>
      </c>
      <c r="AO5" s="17">
        <v>3.294</v>
      </c>
      <c r="AP5" s="17">
        <v>2.669</v>
      </c>
      <c r="AQ5" s="17">
        <v>13.606</v>
      </c>
      <c r="AR5" s="17">
        <v>4.29</v>
      </c>
      <c r="AS5" s="17">
        <v>4.9260000000000002</v>
      </c>
      <c r="AT5" s="17">
        <v>5.069</v>
      </c>
      <c r="AU5" s="17">
        <v>0.84799999999999998</v>
      </c>
      <c r="AV5" s="17">
        <v>1.907</v>
      </c>
      <c r="AW5" s="17">
        <v>12.528</v>
      </c>
      <c r="AX5" s="17">
        <v>13.891999999999999</v>
      </c>
      <c r="AY5" s="17">
        <v>3.286</v>
      </c>
      <c r="AZ5" s="17">
        <v>4.12</v>
      </c>
      <c r="BA5" s="17">
        <v>1.165</v>
      </c>
      <c r="BB5" s="17">
        <v>14.605</v>
      </c>
      <c r="BC5" s="17">
        <v>4.1139999999999999</v>
      </c>
      <c r="BD5" s="17">
        <v>0.752</v>
      </c>
      <c r="BE5" s="17">
        <v>4.2539999999999996</v>
      </c>
      <c r="BF5" s="17">
        <v>3.5630000000000002</v>
      </c>
      <c r="BG5" s="17">
        <v>8.2729999999999997</v>
      </c>
      <c r="BH5" s="17">
        <v>5.274</v>
      </c>
      <c r="BI5" s="17">
        <v>4.0279999999999996</v>
      </c>
      <c r="BJ5" s="17">
        <v>3.81</v>
      </c>
      <c r="BK5" s="17">
        <v>1.619</v>
      </c>
      <c r="BL5" s="17">
        <v>2.2109999999999999</v>
      </c>
      <c r="BM5" s="17">
        <v>2.4180000000000001</v>
      </c>
      <c r="BN5" s="17">
        <v>4.0750000000000002</v>
      </c>
      <c r="BO5" s="17">
        <v>1.9179999999999999</v>
      </c>
    </row>
    <row r="6" spans="1:67" x14ac:dyDescent="0.3">
      <c r="A6" t="s">
        <v>326</v>
      </c>
      <c r="B6" s="17">
        <v>7.1070000000000002</v>
      </c>
      <c r="C6" s="17">
        <v>7.3849999999999998</v>
      </c>
      <c r="D6" s="17">
        <v>8.7739999999999991</v>
      </c>
      <c r="E6" s="17">
        <v>4.6429999999999998</v>
      </c>
      <c r="F6" s="17">
        <v>6.0149999999999997</v>
      </c>
      <c r="G6" s="17">
        <v>6.2770000000000001</v>
      </c>
      <c r="H6" s="17">
        <v>5.8680000000000003</v>
      </c>
      <c r="I6" s="17">
        <v>5.74</v>
      </c>
      <c r="J6" s="17">
        <v>12.13</v>
      </c>
      <c r="K6" s="17">
        <v>9.0920000000000005</v>
      </c>
      <c r="L6" s="17">
        <v>6.93</v>
      </c>
      <c r="M6" s="17">
        <v>11.097</v>
      </c>
      <c r="N6" s="17">
        <v>9.4600000000000009</v>
      </c>
      <c r="O6" s="17">
        <v>6.7510000000000003</v>
      </c>
      <c r="P6" s="17">
        <v>5.3609999999999998</v>
      </c>
      <c r="Q6" s="17">
        <v>5.9779999999999998</v>
      </c>
      <c r="R6" s="17">
        <v>9.2129999999999992</v>
      </c>
      <c r="S6" s="17">
        <v>9.4749999999999996</v>
      </c>
      <c r="T6" s="17">
        <v>9.2059999999999995</v>
      </c>
      <c r="U6" s="17">
        <v>7.7279999999999998</v>
      </c>
      <c r="V6" s="17">
        <v>18.765999999999998</v>
      </c>
      <c r="W6" s="17">
        <v>8.6140000000000008</v>
      </c>
      <c r="X6" s="17">
        <v>8.2469999999999999</v>
      </c>
      <c r="Y6" s="17">
        <v>7.0960000000000001</v>
      </c>
      <c r="Z6" s="17">
        <v>7.0410000000000004</v>
      </c>
      <c r="AA6" s="17">
        <v>6.5389999999999997</v>
      </c>
      <c r="AB6" s="17">
        <v>7.141</v>
      </c>
      <c r="AC6" s="17">
        <v>4.9119999999999999</v>
      </c>
      <c r="AD6" s="17">
        <v>6.61</v>
      </c>
      <c r="AE6" s="17">
        <v>9.8190000000000008</v>
      </c>
      <c r="AF6" s="17">
        <v>14.436</v>
      </c>
      <c r="AG6" s="17">
        <v>5.7549999999999999</v>
      </c>
      <c r="AH6" s="17">
        <v>5.9109999999999996</v>
      </c>
      <c r="AI6" s="17">
        <v>7.6559999999999997</v>
      </c>
      <c r="AJ6" s="17">
        <v>9.7260000000000009</v>
      </c>
      <c r="AK6" s="17">
        <v>7.8280000000000003</v>
      </c>
      <c r="AL6" s="17">
        <v>6.32</v>
      </c>
      <c r="AM6" s="17">
        <v>5.5049999999999999</v>
      </c>
      <c r="AN6" s="17">
        <v>7.6130000000000004</v>
      </c>
      <c r="AO6" s="17">
        <v>4.915</v>
      </c>
      <c r="AP6" s="17">
        <v>8.5570000000000004</v>
      </c>
      <c r="AQ6" s="17">
        <v>6.0209999999999999</v>
      </c>
      <c r="AR6" s="17">
        <v>7.6749999999999998</v>
      </c>
      <c r="AS6" s="17">
        <v>7.4939999999999998</v>
      </c>
      <c r="AT6" s="17">
        <v>7.5289999999999999</v>
      </c>
      <c r="AU6" s="17">
        <v>9.0980000000000008</v>
      </c>
      <c r="AV6" s="17">
        <v>6.4450000000000003</v>
      </c>
      <c r="AW6" s="17">
        <v>11.375999999999999</v>
      </c>
      <c r="AX6" s="17">
        <v>7.5209999999999999</v>
      </c>
      <c r="AY6" s="17">
        <v>6.9729999999999999</v>
      </c>
      <c r="AZ6" s="17">
        <v>6.8029999999999999</v>
      </c>
      <c r="BA6" s="17">
        <v>4.8220000000000001</v>
      </c>
      <c r="BB6" s="17">
        <v>12.709</v>
      </c>
      <c r="BC6" s="17">
        <v>5.2530000000000001</v>
      </c>
      <c r="BD6" s="17">
        <v>6.6550000000000002</v>
      </c>
      <c r="BE6" s="17">
        <v>5.907</v>
      </c>
      <c r="BF6" s="17">
        <v>7.8659999999999997</v>
      </c>
      <c r="BG6" s="17">
        <v>7.726</v>
      </c>
      <c r="BH6" s="17">
        <v>7.843</v>
      </c>
      <c r="BI6" s="17">
        <v>10.292999999999999</v>
      </c>
      <c r="BJ6" s="17">
        <v>7.55</v>
      </c>
      <c r="BK6" s="17">
        <v>7.0490000000000004</v>
      </c>
      <c r="BL6" s="17">
        <v>4.5519999999999996</v>
      </c>
      <c r="BM6" s="17">
        <v>7.0759999999999996</v>
      </c>
      <c r="BN6" s="17">
        <v>7.3140000000000001</v>
      </c>
      <c r="BO6" s="17">
        <v>7.6959999999999997</v>
      </c>
    </row>
    <row r="7" spans="1:67" x14ac:dyDescent="0.3">
      <c r="A7" t="s">
        <v>327</v>
      </c>
      <c r="B7" s="17">
        <v>1.7070000000000001</v>
      </c>
      <c r="C7" s="17">
        <v>4.157</v>
      </c>
      <c r="D7" s="17">
        <v>0.372</v>
      </c>
      <c r="E7" s="17">
        <v>-1.3180000000000001</v>
      </c>
      <c r="F7" s="17">
        <v>2.129</v>
      </c>
      <c r="G7" s="17">
        <v>1.522</v>
      </c>
      <c r="H7" s="17">
        <v>3.073</v>
      </c>
      <c r="I7" s="17">
        <v>2.786</v>
      </c>
      <c r="J7" s="17">
        <v>0.77600000000000002</v>
      </c>
      <c r="K7" s="17">
        <v>1.8220000000000001</v>
      </c>
      <c r="L7" s="17">
        <v>-0.153</v>
      </c>
      <c r="M7" s="17">
        <v>2.468</v>
      </c>
      <c r="N7" s="17">
        <v>5.7210000000000001</v>
      </c>
      <c r="O7" s="17">
        <v>1.151</v>
      </c>
      <c r="P7" s="17">
        <v>0.32</v>
      </c>
      <c r="Q7" s="17">
        <v>2.9609999999999999</v>
      </c>
      <c r="R7" s="17">
        <v>0.41599999999999998</v>
      </c>
      <c r="S7" s="17">
        <v>1.278</v>
      </c>
      <c r="T7" s="17">
        <v>3.7650000000000001</v>
      </c>
      <c r="U7" s="17">
        <v>1.82</v>
      </c>
      <c r="V7" s="17">
        <v>-0.46300000000000002</v>
      </c>
      <c r="W7" s="17">
        <v>4.0810000000000004</v>
      </c>
      <c r="X7" s="17">
        <v>4.431</v>
      </c>
      <c r="Y7" s="17">
        <v>2.3210000000000002</v>
      </c>
      <c r="Z7" s="17">
        <v>3.399</v>
      </c>
      <c r="AA7" s="17">
        <v>3.387</v>
      </c>
      <c r="AB7" s="17">
        <v>0.126</v>
      </c>
      <c r="AC7" s="17">
        <v>1.6659999999999999</v>
      </c>
      <c r="AD7" s="17">
        <v>1.6339999999999999</v>
      </c>
      <c r="AE7" s="17">
        <v>5.5330000000000004</v>
      </c>
      <c r="AF7" s="17">
        <v>6.3630000000000004</v>
      </c>
      <c r="AG7" s="17">
        <v>2.6890000000000001</v>
      </c>
      <c r="AH7" s="17">
        <v>1.821</v>
      </c>
      <c r="AI7" s="17">
        <v>4.2640000000000002</v>
      </c>
      <c r="AJ7" s="17">
        <v>2.6070000000000002</v>
      </c>
      <c r="AK7" s="17">
        <v>1.952</v>
      </c>
      <c r="AL7" s="17">
        <v>2.609</v>
      </c>
      <c r="AM7" s="17">
        <v>1.3160000000000001</v>
      </c>
      <c r="AN7" s="17">
        <v>2.4079999999999999</v>
      </c>
      <c r="AO7" s="17">
        <v>2.13</v>
      </c>
      <c r="AP7" s="17">
        <v>3.78</v>
      </c>
      <c r="AQ7" s="17">
        <v>-0.253</v>
      </c>
      <c r="AR7" s="17">
        <v>2.1539999999999999</v>
      </c>
      <c r="AS7" s="17">
        <v>2.359</v>
      </c>
      <c r="AT7" s="17">
        <v>2.5569999999999999</v>
      </c>
      <c r="AU7" s="17">
        <v>0.93100000000000005</v>
      </c>
      <c r="AV7" s="17">
        <v>2.36</v>
      </c>
      <c r="AW7" s="17">
        <v>3.4729999999999999</v>
      </c>
      <c r="AX7" s="17">
        <v>-3.35</v>
      </c>
      <c r="AY7" s="17">
        <v>1.365</v>
      </c>
      <c r="AZ7" s="17">
        <v>2.0649999999999999</v>
      </c>
      <c r="BA7" s="17">
        <v>1.9079999999999999</v>
      </c>
      <c r="BB7" s="17">
        <v>1.3859999999999999</v>
      </c>
      <c r="BC7" s="17">
        <v>1.6679999999999999</v>
      </c>
      <c r="BD7" s="17">
        <v>4.1139999999999999</v>
      </c>
      <c r="BE7" s="17">
        <v>0.77500000000000002</v>
      </c>
      <c r="BF7" s="17">
        <v>1.149</v>
      </c>
      <c r="BG7" s="17">
        <v>3.0739999999999998</v>
      </c>
      <c r="BH7" s="17">
        <v>2.52</v>
      </c>
      <c r="BI7" s="17">
        <v>3.08</v>
      </c>
      <c r="BJ7" s="17">
        <v>2.4009999999999998</v>
      </c>
      <c r="BK7" s="17">
        <v>3.569</v>
      </c>
      <c r="BL7" s="17">
        <v>2.4129999999999998</v>
      </c>
      <c r="BM7" s="17">
        <v>2.7050000000000001</v>
      </c>
      <c r="BN7" s="17">
        <v>2.5270000000000001</v>
      </c>
      <c r="BO7" s="17">
        <v>5.085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BF4F2-6712-4BE0-AC39-1737866AEEBA}">
  <dimension ref="A1:BP10"/>
  <sheetViews>
    <sheetView topLeftCell="BN1" workbookViewId="0">
      <selection activeCell="D24" sqref="D24"/>
    </sheetView>
  </sheetViews>
  <sheetFormatPr defaultRowHeight="14.4" x14ac:dyDescent="0.3"/>
  <cols>
    <col min="1" max="1" width="12.5546875" bestFit="1" customWidth="1"/>
    <col min="68" max="68" width="11.44140625" bestFit="1" customWidth="1"/>
  </cols>
  <sheetData>
    <row r="1" spans="1:68" x14ac:dyDescent="0.3">
      <c r="A1" t="s">
        <v>331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269</v>
      </c>
      <c r="P1" t="s">
        <v>270</v>
      </c>
      <c r="Q1" t="s">
        <v>271</v>
      </c>
      <c r="R1" t="s">
        <v>272</v>
      </c>
      <c r="S1" t="s">
        <v>273</v>
      </c>
      <c r="T1" t="s">
        <v>274</v>
      </c>
      <c r="U1" t="s">
        <v>275</v>
      </c>
      <c r="V1" t="s">
        <v>276</v>
      </c>
      <c r="W1" t="s">
        <v>277</v>
      </c>
      <c r="X1" t="s">
        <v>278</v>
      </c>
      <c r="Y1" t="s">
        <v>279</v>
      </c>
      <c r="Z1" t="s">
        <v>280</v>
      </c>
      <c r="AA1" t="s">
        <v>281</v>
      </c>
      <c r="AB1" t="s">
        <v>282</v>
      </c>
      <c r="AC1" t="s">
        <v>283</v>
      </c>
      <c r="AD1" t="s">
        <v>284</v>
      </c>
      <c r="AE1" t="s">
        <v>285</v>
      </c>
      <c r="AF1" t="s">
        <v>286</v>
      </c>
      <c r="AG1" t="s">
        <v>287</v>
      </c>
      <c r="AH1" t="s">
        <v>288</v>
      </c>
      <c r="AI1" t="s">
        <v>289</v>
      </c>
      <c r="AJ1" t="s">
        <v>290</v>
      </c>
      <c r="AK1" t="s">
        <v>291</v>
      </c>
      <c r="AL1" t="s">
        <v>292</v>
      </c>
      <c r="AM1" t="s">
        <v>293</v>
      </c>
      <c r="AN1" t="s">
        <v>294</v>
      </c>
      <c r="AO1" t="s">
        <v>295</v>
      </c>
      <c r="AP1" t="s">
        <v>296</v>
      </c>
      <c r="AQ1" t="s">
        <v>297</v>
      </c>
      <c r="AR1" t="s">
        <v>298</v>
      </c>
      <c r="AS1" t="s">
        <v>299</v>
      </c>
      <c r="AT1" t="s">
        <v>300</v>
      </c>
      <c r="AU1" t="s">
        <v>301</v>
      </c>
      <c r="AV1" t="s">
        <v>302</v>
      </c>
      <c r="AW1" t="s">
        <v>303</v>
      </c>
      <c r="AX1" t="s">
        <v>304</v>
      </c>
      <c r="AY1" t="s">
        <v>305</v>
      </c>
      <c r="AZ1" t="s">
        <v>306</v>
      </c>
      <c r="BA1" t="s">
        <v>307</v>
      </c>
      <c r="BB1" t="s">
        <v>308</v>
      </c>
      <c r="BC1" t="s">
        <v>309</v>
      </c>
      <c r="BD1" t="s">
        <v>310</v>
      </c>
      <c r="BE1" t="s">
        <v>311</v>
      </c>
      <c r="BF1" t="s">
        <v>312</v>
      </c>
      <c r="BG1" t="s">
        <v>313</v>
      </c>
      <c r="BH1" t="s">
        <v>314</v>
      </c>
      <c r="BI1" t="s">
        <v>315</v>
      </c>
      <c r="BJ1" t="s">
        <v>316</v>
      </c>
      <c r="BK1" t="s">
        <v>317</v>
      </c>
      <c r="BL1" t="s">
        <v>318</v>
      </c>
      <c r="BM1" t="s">
        <v>319</v>
      </c>
      <c r="BN1" t="s">
        <v>320</v>
      </c>
      <c r="BO1" t="s">
        <v>321</v>
      </c>
      <c r="BP1" s="18" t="s">
        <v>333</v>
      </c>
    </row>
    <row r="2" spans="1:68" x14ac:dyDescent="0.3">
      <c r="A2" t="s">
        <v>322</v>
      </c>
      <c r="B2">
        <v>1020.46</v>
      </c>
      <c r="C2">
        <v>1380.3869999999999</v>
      </c>
      <c r="D2">
        <v>261.80799999999999</v>
      </c>
      <c r="E2">
        <v>463.80900000000003</v>
      </c>
      <c r="F2">
        <v>198.477</v>
      </c>
      <c r="G2">
        <v>3772.72</v>
      </c>
      <c r="H2">
        <v>912.596</v>
      </c>
      <c r="I2">
        <v>5115.4170000000004</v>
      </c>
      <c r="J2">
        <v>188.11699999999999</v>
      </c>
      <c r="K2">
        <v>959.83500000000004</v>
      </c>
      <c r="L2">
        <v>527.13800000000003</v>
      </c>
      <c r="M2">
        <v>695.79200000000003</v>
      </c>
      <c r="N2">
        <v>728.93499999999995</v>
      </c>
      <c r="O2">
        <v>528.43200000000002</v>
      </c>
      <c r="P2">
        <v>338.24099999999999</v>
      </c>
      <c r="Q2">
        <v>258.58600000000001</v>
      </c>
      <c r="R2">
        <v>553.88900000000001</v>
      </c>
      <c r="S2">
        <v>179.49100000000001</v>
      </c>
      <c r="T2">
        <v>1023.221</v>
      </c>
      <c r="U2">
        <v>675.28099999999995</v>
      </c>
      <c r="V2">
        <v>2466.4270000000001</v>
      </c>
      <c r="W2">
        <v>1259.672</v>
      </c>
      <c r="X2">
        <v>72.06</v>
      </c>
      <c r="Y2">
        <v>421.63400000000001</v>
      </c>
      <c r="Z2">
        <v>481.71800000000002</v>
      </c>
      <c r="AA2">
        <v>988.84799999999996</v>
      </c>
      <c r="AB2">
        <v>301.98599999999999</v>
      </c>
      <c r="AC2">
        <v>567.93499999999995</v>
      </c>
      <c r="AD2">
        <v>1359.4780000000001</v>
      </c>
      <c r="AE2">
        <v>767.76900000000001</v>
      </c>
      <c r="AF2">
        <v>554.21</v>
      </c>
      <c r="AG2">
        <v>976.47400000000005</v>
      </c>
      <c r="AH2">
        <v>685.42499999999995</v>
      </c>
      <c r="AI2">
        <v>1430.203</v>
      </c>
      <c r="AJ2">
        <v>156.86500000000001</v>
      </c>
      <c r="AK2">
        <v>859.22799999999995</v>
      </c>
      <c r="AL2">
        <v>833.851</v>
      </c>
      <c r="AM2">
        <v>985.49900000000002</v>
      </c>
      <c r="AN2">
        <v>616.995</v>
      </c>
      <c r="AO2">
        <v>481.84500000000003</v>
      </c>
      <c r="AP2">
        <v>1134.106</v>
      </c>
      <c r="AQ2">
        <v>3003.09</v>
      </c>
      <c r="AR2">
        <v>1445.2729999999999</v>
      </c>
      <c r="AS2">
        <v>2307.6460000000002</v>
      </c>
      <c r="AT2">
        <v>2738.116</v>
      </c>
      <c r="AU2">
        <v>258.20400000000001</v>
      </c>
      <c r="AV2">
        <v>64.028000000000006</v>
      </c>
      <c r="AW2">
        <v>426.11700000000002</v>
      </c>
      <c r="AX2">
        <v>977.35500000000002</v>
      </c>
      <c r="AY2">
        <v>1532.7650000000001</v>
      </c>
      <c r="AZ2">
        <v>1297.9590000000001</v>
      </c>
      <c r="BA2">
        <v>784.20399999999995</v>
      </c>
      <c r="BB2">
        <v>303.68200000000002</v>
      </c>
      <c r="BC2">
        <v>689.08100000000002</v>
      </c>
      <c r="BD2">
        <v>668.33600000000001</v>
      </c>
      <c r="BE2">
        <v>895.66399999999999</v>
      </c>
      <c r="BF2">
        <v>1525.9490000000001</v>
      </c>
      <c r="BG2">
        <v>1181.7460000000001</v>
      </c>
      <c r="BH2">
        <v>612.70799999999997</v>
      </c>
      <c r="BI2">
        <v>710.97299999999996</v>
      </c>
      <c r="BJ2">
        <v>815.03700000000003</v>
      </c>
      <c r="BK2">
        <v>1959.9069999999999</v>
      </c>
      <c r="BL2">
        <v>6903.36</v>
      </c>
      <c r="BM2">
        <v>4158.1869999999999</v>
      </c>
      <c r="BN2">
        <v>2031.981</v>
      </c>
      <c r="BO2">
        <v>904.79499999999996</v>
      </c>
      <c r="BP2" s="19">
        <f t="array" ref="BP2">SUM(B2:BO2)</f>
        <v>75381.023000000001</v>
      </c>
    </row>
    <row r="3" spans="1:68" x14ac:dyDescent="0.3">
      <c r="A3" t="s">
        <v>323</v>
      </c>
      <c r="B3">
        <v>14.285</v>
      </c>
      <c r="C3">
        <v>42.517000000000003</v>
      </c>
      <c r="D3">
        <v>8.0820000000000007</v>
      </c>
      <c r="E3">
        <v>7.1680000000000001</v>
      </c>
      <c r="F3">
        <v>6.7640000000000002</v>
      </c>
      <c r="G3">
        <v>274.05500000000001</v>
      </c>
      <c r="H3">
        <v>41.500999999999998</v>
      </c>
      <c r="I3">
        <v>11865.494000000001</v>
      </c>
      <c r="J3">
        <v>10.287000000000001</v>
      </c>
      <c r="K3">
        <v>44.567</v>
      </c>
      <c r="L3">
        <v>16.361999999999998</v>
      </c>
      <c r="M3">
        <v>9.4719999999999995</v>
      </c>
      <c r="N3">
        <v>17.669</v>
      </c>
      <c r="O3">
        <v>102.114</v>
      </c>
      <c r="P3">
        <v>183.41900000000001</v>
      </c>
      <c r="Q3">
        <v>1193.952</v>
      </c>
      <c r="R3">
        <v>14.951000000000001</v>
      </c>
      <c r="S3">
        <v>8.1539999999999999</v>
      </c>
      <c r="T3">
        <v>555.36699999999996</v>
      </c>
      <c r="U3">
        <v>66.438000000000002</v>
      </c>
      <c r="V3">
        <v>163.709</v>
      </c>
      <c r="W3">
        <v>52.067</v>
      </c>
      <c r="X3">
        <v>13.475</v>
      </c>
      <c r="Y3">
        <v>17.114000000000001</v>
      </c>
      <c r="Z3">
        <v>1024.3489999999999</v>
      </c>
      <c r="AA3">
        <v>1678.9949999999999</v>
      </c>
      <c r="AB3">
        <v>304.31700000000001</v>
      </c>
      <c r="AC3">
        <v>64.941999999999993</v>
      </c>
      <c r="AD3">
        <v>51.564999999999998</v>
      </c>
      <c r="AE3">
        <v>52.112000000000002</v>
      </c>
      <c r="AF3">
        <v>8.5869999999999997</v>
      </c>
      <c r="AG3">
        <v>284.77</v>
      </c>
      <c r="AH3">
        <v>40.027000000000001</v>
      </c>
      <c r="AI3">
        <v>130.4</v>
      </c>
      <c r="AJ3">
        <v>3.8050000000000002</v>
      </c>
      <c r="AK3">
        <v>117.553</v>
      </c>
      <c r="AL3">
        <v>69.992999999999995</v>
      </c>
      <c r="AM3">
        <v>14.212</v>
      </c>
      <c r="AN3">
        <v>80.275999999999996</v>
      </c>
      <c r="AO3">
        <v>2040.566</v>
      </c>
      <c r="AP3">
        <v>45.371000000000002</v>
      </c>
      <c r="AQ3">
        <v>256.37400000000002</v>
      </c>
      <c r="AR3">
        <v>124.874</v>
      </c>
      <c r="AS3">
        <v>56.618000000000002</v>
      </c>
      <c r="AT3">
        <v>36.362000000000002</v>
      </c>
      <c r="AU3">
        <v>2.2999999999999998</v>
      </c>
      <c r="AV3">
        <v>6.1870000000000003</v>
      </c>
      <c r="AW3">
        <v>27.695</v>
      </c>
      <c r="AX3">
        <v>23.228000000000002</v>
      </c>
      <c r="AY3">
        <v>257.92200000000003</v>
      </c>
      <c r="AZ3">
        <v>26.919</v>
      </c>
      <c r="BA3">
        <v>237.989</v>
      </c>
      <c r="BB3">
        <v>12.356999999999999</v>
      </c>
      <c r="BC3">
        <v>48.545000000000002</v>
      </c>
      <c r="BD3">
        <v>72.834999999999994</v>
      </c>
      <c r="BE3">
        <v>39.859000000000002</v>
      </c>
      <c r="BF3">
        <v>67.308999999999997</v>
      </c>
      <c r="BG3">
        <v>222.529</v>
      </c>
      <c r="BH3">
        <v>21.065000000000001</v>
      </c>
      <c r="BI3">
        <v>60.743000000000002</v>
      </c>
      <c r="BJ3">
        <v>109.861</v>
      </c>
      <c r="BK3">
        <v>290.42500000000001</v>
      </c>
      <c r="BL3">
        <v>653.87</v>
      </c>
      <c r="BM3">
        <v>35.823</v>
      </c>
      <c r="BN3">
        <v>122.178</v>
      </c>
      <c r="BO3">
        <v>17.599</v>
      </c>
      <c r="BP3" s="19">
        <f t="array" ref="BP3">SUM(B3:BO3)</f>
        <v>23572.288999999986</v>
      </c>
    </row>
    <row r="4" spans="1:68" x14ac:dyDescent="0.3">
      <c r="A4" t="s">
        <v>324</v>
      </c>
      <c r="B4">
        <v>128.81100000000001</v>
      </c>
      <c r="C4">
        <v>910.80100000000004</v>
      </c>
      <c r="D4">
        <v>204.38</v>
      </c>
      <c r="E4">
        <v>94.82</v>
      </c>
      <c r="F4">
        <v>132.49299999999999</v>
      </c>
      <c r="G4">
        <v>6960.5519999999997</v>
      </c>
      <c r="H4">
        <v>893.53300000000002</v>
      </c>
      <c r="I4">
        <v>73653.414000000004</v>
      </c>
      <c r="J4">
        <v>1674.5940000000001</v>
      </c>
      <c r="K4">
        <v>731.04200000000003</v>
      </c>
      <c r="L4">
        <v>292.3</v>
      </c>
      <c r="M4">
        <v>237.751</v>
      </c>
      <c r="N4">
        <v>349.46100000000001</v>
      </c>
      <c r="O4">
        <v>1021.153</v>
      </c>
      <c r="P4">
        <v>489.68400000000003</v>
      </c>
      <c r="Q4">
        <v>8122.3959999999997</v>
      </c>
      <c r="R4">
        <v>313.678</v>
      </c>
      <c r="S4">
        <v>129.142</v>
      </c>
      <c r="T4">
        <v>3840.4679999999998</v>
      </c>
      <c r="U4">
        <v>1575.124</v>
      </c>
      <c r="V4">
        <v>2014.759</v>
      </c>
      <c r="W4">
        <v>691.22699999999998</v>
      </c>
      <c r="X4">
        <v>258.74900000000002</v>
      </c>
      <c r="Y4">
        <v>344.68200000000002</v>
      </c>
      <c r="Z4">
        <v>12391.322</v>
      </c>
      <c r="AA4">
        <v>10034.665999999999</v>
      </c>
      <c r="AB4">
        <v>1978.367</v>
      </c>
      <c r="AC4">
        <v>1341.6669999999999</v>
      </c>
      <c r="AD4">
        <v>899.98699999999997</v>
      </c>
      <c r="AE4">
        <v>456.53</v>
      </c>
      <c r="AF4">
        <v>226.77199999999999</v>
      </c>
      <c r="AG4">
        <v>8075.4830000000002</v>
      </c>
      <c r="AH4">
        <v>713.48199999999997</v>
      </c>
      <c r="AI4">
        <v>1545.91</v>
      </c>
      <c r="AJ4">
        <v>61.497999999999998</v>
      </c>
      <c r="AK4">
        <v>7299.5690000000004</v>
      </c>
      <c r="AL4">
        <v>512.41800000000001</v>
      </c>
      <c r="AM4">
        <v>167.12700000000001</v>
      </c>
      <c r="AN4">
        <v>348.18200000000002</v>
      </c>
      <c r="AO4">
        <v>11223.342000000001</v>
      </c>
      <c r="AP4">
        <v>703.82299999999998</v>
      </c>
      <c r="AQ4">
        <v>3441.248</v>
      </c>
      <c r="AR4">
        <v>1761.126</v>
      </c>
      <c r="AS4">
        <v>1338.5170000000001</v>
      </c>
      <c r="AT4">
        <v>668.12699999999995</v>
      </c>
      <c r="AU4">
        <v>25.547999999999998</v>
      </c>
      <c r="AV4">
        <v>100.84099999999999</v>
      </c>
      <c r="AW4">
        <v>1931.204</v>
      </c>
      <c r="AX4">
        <v>618.18600000000004</v>
      </c>
      <c r="AY4">
        <v>2814.2910000000002</v>
      </c>
      <c r="AZ4">
        <v>242.56</v>
      </c>
      <c r="BA4">
        <v>5104.8410000000003</v>
      </c>
      <c r="BB4">
        <v>500.34899999999999</v>
      </c>
      <c r="BC4">
        <v>1192.6859999999999</v>
      </c>
      <c r="BD4">
        <v>820.23299999999995</v>
      </c>
      <c r="BE4">
        <v>883.625</v>
      </c>
      <c r="BF4">
        <v>1211.865</v>
      </c>
      <c r="BG4">
        <v>6828.63</v>
      </c>
      <c r="BH4">
        <v>361.74700000000001</v>
      </c>
      <c r="BI4">
        <v>7024.1390000000001</v>
      </c>
      <c r="BJ4">
        <v>2091.8180000000002</v>
      </c>
      <c r="BK4">
        <v>9163.8459999999995</v>
      </c>
      <c r="BL4">
        <v>19623.192999999999</v>
      </c>
      <c r="BM4">
        <v>671.46199999999999</v>
      </c>
      <c r="BN4">
        <v>3164.433</v>
      </c>
      <c r="BO4">
        <v>332.12200000000001</v>
      </c>
      <c r="BP4" s="19">
        <f t="array" ref="BP4">SUM(B4:BO4)</f>
        <v>234961.79599999989</v>
      </c>
    </row>
    <row r="5" spans="1:68" x14ac:dyDescent="0.3">
      <c r="A5" t="s">
        <v>329</v>
      </c>
      <c r="B5">
        <v>0.97299999999999998</v>
      </c>
      <c r="C5">
        <v>29.949000000000002</v>
      </c>
      <c r="D5">
        <v>2.1999999999999999E-2</v>
      </c>
      <c r="E5">
        <v>1.4999999999999999E-2</v>
      </c>
      <c r="F5">
        <v>1.4999999999999999E-2</v>
      </c>
      <c r="G5">
        <v>9.2230000000000008</v>
      </c>
      <c r="H5">
        <v>1.2330000000000001</v>
      </c>
      <c r="I5">
        <v>5049.6760000000004</v>
      </c>
      <c r="J5">
        <v>0.02</v>
      </c>
      <c r="K5">
        <v>1.119</v>
      </c>
      <c r="L5">
        <v>1.173</v>
      </c>
      <c r="M5">
        <v>4.25</v>
      </c>
      <c r="N5">
        <v>0.61599999999999999</v>
      </c>
      <c r="O5">
        <v>0.14899999999999999</v>
      </c>
      <c r="P5">
        <v>2.3E-2</v>
      </c>
      <c r="Q5">
        <v>2.7280000000000002</v>
      </c>
      <c r="R5">
        <v>0.75700000000000001</v>
      </c>
      <c r="S5">
        <v>6.8369999999999997</v>
      </c>
      <c r="T5">
        <v>40.536999999999999</v>
      </c>
      <c r="U5">
        <v>1.3129999999999999</v>
      </c>
      <c r="V5">
        <v>0.67200000000000004</v>
      </c>
      <c r="W5">
        <v>97.822999999999993</v>
      </c>
      <c r="X5">
        <v>5.0000000000000001E-3</v>
      </c>
      <c r="Y5">
        <v>2.4E-2</v>
      </c>
      <c r="Z5">
        <v>0.97699999999999998</v>
      </c>
      <c r="AA5">
        <v>5.2910000000000004</v>
      </c>
      <c r="AB5">
        <v>23.774000000000001</v>
      </c>
      <c r="AC5">
        <v>97.603999999999999</v>
      </c>
      <c r="AD5">
        <v>6.5000000000000002E-2</v>
      </c>
      <c r="AE5">
        <v>3.9E-2</v>
      </c>
      <c r="AF5">
        <v>4.3999999999999997E-2</v>
      </c>
      <c r="AG5">
        <v>12.686999999999999</v>
      </c>
      <c r="AH5">
        <v>5.4370000000000003</v>
      </c>
      <c r="AI5">
        <v>16.341000000000001</v>
      </c>
      <c r="AJ5">
        <v>7.2999999999999995E-2</v>
      </c>
      <c r="AK5">
        <v>1.47</v>
      </c>
      <c r="AL5">
        <v>2.9460000000000002</v>
      </c>
      <c r="AM5">
        <v>3.4000000000000002E-2</v>
      </c>
      <c r="AN5">
        <v>0.114</v>
      </c>
      <c r="AO5">
        <v>0.20100000000000001</v>
      </c>
      <c r="AP5">
        <v>11.201000000000001</v>
      </c>
      <c r="AQ5">
        <v>0.11700000000000001</v>
      </c>
      <c r="AR5">
        <v>6.9189999999999996</v>
      </c>
      <c r="AS5">
        <v>14.215</v>
      </c>
      <c r="AT5">
        <v>4.3479999999999999</v>
      </c>
      <c r="AU5">
        <v>0.01</v>
      </c>
      <c r="AV5">
        <v>0.68400000000000005</v>
      </c>
      <c r="AW5">
        <v>4.5999999999999999E-2</v>
      </c>
      <c r="AX5">
        <v>3.6999999999999998E-2</v>
      </c>
      <c r="AY5">
        <v>182.75</v>
      </c>
      <c r="AZ5">
        <v>4.4999999999999998E-2</v>
      </c>
      <c r="BA5">
        <v>336.41699999999997</v>
      </c>
      <c r="BB5">
        <v>2.9000000000000001E-2</v>
      </c>
      <c r="BC5">
        <v>281.99400000000003</v>
      </c>
      <c r="BD5">
        <v>3.2120000000000002</v>
      </c>
      <c r="BE5">
        <v>1.554</v>
      </c>
      <c r="BF5">
        <v>218.44499999999999</v>
      </c>
      <c r="BG5">
        <v>25.611999999999998</v>
      </c>
      <c r="BH5">
        <v>5.5E-2</v>
      </c>
      <c r="BI5">
        <v>1.677</v>
      </c>
      <c r="BJ5">
        <v>4.8840000000000003</v>
      </c>
      <c r="BK5">
        <v>374.75099999999998</v>
      </c>
      <c r="BL5">
        <v>155.529</v>
      </c>
      <c r="BM5">
        <v>4.92</v>
      </c>
      <c r="BN5">
        <v>248.03100000000001</v>
      </c>
      <c r="BO5">
        <v>1.526</v>
      </c>
      <c r="BP5" s="19">
        <f t="array" ref="BP5">SUM(B5:BO5)</f>
        <v>7295.2570000000042</v>
      </c>
    </row>
    <row r="6" spans="1:68" x14ac:dyDescent="0.3">
      <c r="A6" t="s">
        <v>330</v>
      </c>
      <c r="B6">
        <v>49.930999999999997</v>
      </c>
      <c r="C6">
        <v>7.2030000000000003</v>
      </c>
      <c r="D6">
        <v>5.0999999999999997E-2</v>
      </c>
      <c r="E6">
        <v>3.4000000000000002E-2</v>
      </c>
      <c r="F6">
        <v>3.3000000000000002E-2</v>
      </c>
      <c r="G6">
        <v>253.41200000000001</v>
      </c>
      <c r="H6">
        <v>147.126</v>
      </c>
      <c r="I6">
        <v>9260.4310000000005</v>
      </c>
      <c r="J6">
        <v>4.5999999999999999E-2</v>
      </c>
      <c r="K6">
        <v>4.3719999999999999</v>
      </c>
      <c r="L6">
        <v>13.375</v>
      </c>
      <c r="M6">
        <v>6.7000000000000004E-2</v>
      </c>
      <c r="N6">
        <v>28.812999999999999</v>
      </c>
      <c r="O6">
        <v>324.39</v>
      </c>
      <c r="P6">
        <v>5.1999999999999998E-2</v>
      </c>
      <c r="Q6">
        <v>0.36399999999999999</v>
      </c>
      <c r="R6">
        <v>72.787000000000006</v>
      </c>
      <c r="S6">
        <v>4.2000000000000003E-2</v>
      </c>
      <c r="T6">
        <v>169.48599999999999</v>
      </c>
      <c r="U6">
        <v>0.14599999999999999</v>
      </c>
      <c r="V6">
        <v>969.26800000000003</v>
      </c>
      <c r="W6">
        <v>6.4320000000000004</v>
      </c>
      <c r="X6">
        <v>1.0999999999999999E-2</v>
      </c>
      <c r="Y6">
        <v>5.3999999999999999E-2</v>
      </c>
      <c r="Z6">
        <v>135.30699999999999</v>
      </c>
      <c r="AA6">
        <v>0.499</v>
      </c>
      <c r="AB6">
        <v>3.601</v>
      </c>
      <c r="AC6">
        <v>13.122999999999999</v>
      </c>
      <c r="AD6">
        <v>66.41</v>
      </c>
      <c r="AE6">
        <v>8.8999999999999996E-2</v>
      </c>
      <c r="AF6">
        <v>0.10100000000000001</v>
      </c>
      <c r="AG6">
        <v>232.54900000000001</v>
      </c>
      <c r="AH6">
        <v>43.984000000000002</v>
      </c>
      <c r="AI6">
        <v>2.573</v>
      </c>
      <c r="AJ6">
        <v>2.4E-2</v>
      </c>
      <c r="AK6">
        <v>0.439</v>
      </c>
      <c r="AL6">
        <v>0.16600000000000001</v>
      </c>
      <c r="AM6">
        <v>7.6999999999999999E-2</v>
      </c>
      <c r="AN6">
        <v>3.601</v>
      </c>
      <c r="AO6">
        <v>483.05599999999998</v>
      </c>
      <c r="AP6">
        <v>0.13900000000000001</v>
      </c>
      <c r="AQ6">
        <v>392.44900000000001</v>
      </c>
      <c r="AR6">
        <v>418.80599999999998</v>
      </c>
      <c r="AS6">
        <v>0.27800000000000002</v>
      </c>
      <c r="AT6">
        <v>1.8009999999999999</v>
      </c>
      <c r="AU6">
        <v>2.3E-2</v>
      </c>
      <c r="AV6">
        <v>0.03</v>
      </c>
      <c r="AW6">
        <v>0.105</v>
      </c>
      <c r="AX6">
        <v>27.78</v>
      </c>
      <c r="AY6">
        <v>471.428</v>
      </c>
      <c r="AZ6">
        <v>22.379000000000001</v>
      </c>
      <c r="BA6">
        <v>558.79</v>
      </c>
      <c r="BB6">
        <v>6.7000000000000004E-2</v>
      </c>
      <c r="BC6">
        <v>0.124</v>
      </c>
      <c r="BD6">
        <v>0.161</v>
      </c>
      <c r="BE6">
        <v>36.793999999999997</v>
      </c>
      <c r="BF6">
        <v>55.313000000000002</v>
      </c>
      <c r="BG6">
        <v>24.946000000000002</v>
      </c>
      <c r="BH6">
        <v>0.124</v>
      </c>
      <c r="BI6">
        <v>0.158</v>
      </c>
      <c r="BJ6">
        <v>0.21299999999999999</v>
      </c>
      <c r="BK6">
        <v>77.965000000000003</v>
      </c>
      <c r="BL6">
        <v>905.02200000000005</v>
      </c>
      <c r="BM6">
        <v>10.553000000000001</v>
      </c>
      <c r="BN6">
        <v>1.0289999999999999</v>
      </c>
      <c r="BO6">
        <v>0.124</v>
      </c>
      <c r="BP6" s="19">
        <f t="array" ref="BP6">SUM(B6:BO6)</f>
        <v>15300.126000000002</v>
      </c>
    </row>
    <row r="7" spans="1:68" x14ac:dyDescent="0.3">
      <c r="A7" t="s">
        <v>325</v>
      </c>
      <c r="B7">
        <v>1126.9849999999999</v>
      </c>
      <c r="C7">
        <v>4342.8639999999996</v>
      </c>
      <c r="D7">
        <v>1109.0409999999999</v>
      </c>
      <c r="E7">
        <v>562.01400000000001</v>
      </c>
      <c r="F7">
        <v>717.94</v>
      </c>
      <c r="G7">
        <v>6987.0770000000002</v>
      </c>
      <c r="H7">
        <v>3011.011</v>
      </c>
      <c r="I7">
        <v>144044.984</v>
      </c>
      <c r="J7">
        <v>557.71799999999996</v>
      </c>
      <c r="K7">
        <v>2995.806</v>
      </c>
      <c r="L7">
        <v>1301.076</v>
      </c>
      <c r="M7">
        <v>1169.0519999999999</v>
      </c>
      <c r="N7">
        <v>2374.9859999999999</v>
      </c>
      <c r="O7">
        <v>3432.7449999999999</v>
      </c>
      <c r="P7">
        <v>1004.518</v>
      </c>
      <c r="Q7">
        <v>6506.674</v>
      </c>
      <c r="R7">
        <v>1881.252</v>
      </c>
      <c r="S7">
        <v>904.35299999999995</v>
      </c>
      <c r="T7">
        <v>10186.540000000001</v>
      </c>
      <c r="U7">
        <v>2745.2449999999999</v>
      </c>
      <c r="V7">
        <v>4279.482</v>
      </c>
      <c r="W7">
        <v>6567.1970000000001</v>
      </c>
      <c r="X7">
        <v>109.02200000000001</v>
      </c>
      <c r="Y7">
        <v>1121.9100000000001</v>
      </c>
      <c r="Z7">
        <v>12159.876</v>
      </c>
      <c r="AA7">
        <v>9195.982</v>
      </c>
      <c r="AB7">
        <v>1370.741</v>
      </c>
      <c r="AC7">
        <v>3221.52</v>
      </c>
      <c r="AD7">
        <v>2979.0210000000002</v>
      </c>
      <c r="AE7">
        <v>1866.3889999999999</v>
      </c>
      <c r="AF7">
        <v>2110.114</v>
      </c>
      <c r="AG7">
        <v>16464.967000000001</v>
      </c>
      <c r="AH7">
        <v>2852.2620000000002</v>
      </c>
      <c r="AI7">
        <v>3574.1889999999999</v>
      </c>
      <c r="AJ7">
        <v>494.45800000000003</v>
      </c>
      <c r="AK7">
        <v>8528.3310000000001</v>
      </c>
      <c r="AL7">
        <v>3644.6840000000002</v>
      </c>
      <c r="AM7">
        <v>1518.384</v>
      </c>
      <c r="AN7">
        <v>1598.3679999999999</v>
      </c>
      <c r="AO7">
        <v>7218.2150000000001</v>
      </c>
      <c r="AP7">
        <v>2830.8130000000001</v>
      </c>
      <c r="AQ7">
        <v>4148.6480000000001</v>
      </c>
      <c r="AR7">
        <v>3823.11</v>
      </c>
      <c r="AS7">
        <v>5356.05</v>
      </c>
      <c r="AT7">
        <v>4090.4459999999999</v>
      </c>
      <c r="AU7">
        <v>417.529</v>
      </c>
      <c r="AV7">
        <v>707.10799999999995</v>
      </c>
      <c r="AW7">
        <v>1780.471</v>
      </c>
      <c r="AX7">
        <v>1516.575</v>
      </c>
      <c r="AY7">
        <v>7878.9110000000001</v>
      </c>
      <c r="AZ7">
        <v>1982.2650000000001</v>
      </c>
      <c r="BA7">
        <v>13925.152</v>
      </c>
      <c r="BB7">
        <v>1359.1690000000001</v>
      </c>
      <c r="BC7">
        <v>2431.6729999999998</v>
      </c>
      <c r="BD7">
        <v>3239.74</v>
      </c>
      <c r="BE7">
        <v>2969.37</v>
      </c>
      <c r="BF7">
        <v>5391.6959999999999</v>
      </c>
      <c r="BG7">
        <v>8675.7420000000002</v>
      </c>
      <c r="BH7">
        <v>2733.7649999999999</v>
      </c>
      <c r="BI7">
        <v>1930.2239999999999</v>
      </c>
      <c r="BJ7">
        <v>4099.826</v>
      </c>
      <c r="BK7">
        <v>12501.188</v>
      </c>
      <c r="BL7">
        <v>31129.326000000001</v>
      </c>
      <c r="BM7">
        <v>2888.16</v>
      </c>
      <c r="BN7">
        <v>8757.1</v>
      </c>
      <c r="BO7">
        <v>2517.306</v>
      </c>
      <c r="BP7" s="19">
        <f t="array" ref="BP7">SUM(B7:BO7)</f>
        <v>426918.35600000003</v>
      </c>
    </row>
    <row r="8" spans="1:68" x14ac:dyDescent="0.3">
      <c r="A8" t="s">
        <v>326</v>
      </c>
      <c r="B8">
        <v>235.4</v>
      </c>
      <c r="C8">
        <v>784.73699999999997</v>
      </c>
      <c r="D8">
        <v>186.69900000000001</v>
      </c>
      <c r="E8">
        <v>127.52200000000001</v>
      </c>
      <c r="F8">
        <v>149.33000000000001</v>
      </c>
      <c r="G8">
        <v>1104.0440000000001</v>
      </c>
      <c r="H8">
        <v>594.93799999999999</v>
      </c>
      <c r="I8">
        <v>29011.592000000001</v>
      </c>
      <c r="J8">
        <v>104.694</v>
      </c>
      <c r="K8">
        <v>601.12199999999996</v>
      </c>
      <c r="L8">
        <v>270.52100000000002</v>
      </c>
      <c r="M8">
        <v>231.22900000000001</v>
      </c>
      <c r="N8">
        <v>440.56400000000002</v>
      </c>
      <c r="O8">
        <v>649.94000000000005</v>
      </c>
      <c r="P8">
        <v>148.23500000000001</v>
      </c>
      <c r="Q8">
        <v>968.01599999999996</v>
      </c>
      <c r="R8">
        <v>337.87599999999998</v>
      </c>
      <c r="S8">
        <v>162.745</v>
      </c>
      <c r="T8">
        <v>1838.5550000000001</v>
      </c>
      <c r="U8">
        <v>500.6</v>
      </c>
      <c r="V8">
        <v>643.97</v>
      </c>
      <c r="W8">
        <v>1220.1289999999999</v>
      </c>
      <c r="X8">
        <v>26.96</v>
      </c>
      <c r="Y8">
        <v>213.53299999999999</v>
      </c>
      <c r="Z8">
        <v>2015.06</v>
      </c>
      <c r="AA8">
        <v>1365.125</v>
      </c>
      <c r="AB8">
        <v>193.80199999999999</v>
      </c>
      <c r="AC8">
        <v>567.13499999999999</v>
      </c>
      <c r="AD8">
        <v>584.91600000000005</v>
      </c>
      <c r="AE8">
        <v>350.488</v>
      </c>
      <c r="AF8">
        <v>272.75200000000001</v>
      </c>
      <c r="AG8">
        <v>3068.2620000000002</v>
      </c>
      <c r="AH8">
        <v>497.51299999999998</v>
      </c>
      <c r="AI8">
        <v>692.45100000000002</v>
      </c>
      <c r="AJ8">
        <v>95.400999999999996</v>
      </c>
      <c r="AK8">
        <v>1655.47</v>
      </c>
      <c r="AL8">
        <v>695.55399999999997</v>
      </c>
      <c r="AM8">
        <v>200.185</v>
      </c>
      <c r="AN8">
        <v>310.92</v>
      </c>
      <c r="AO8">
        <v>1025.0899999999999</v>
      </c>
      <c r="AP8">
        <v>460.36599999999999</v>
      </c>
      <c r="AQ8">
        <v>703.68299999999999</v>
      </c>
      <c r="AR8">
        <v>697.63099999999997</v>
      </c>
      <c r="AS8">
        <v>1021.103</v>
      </c>
      <c r="AT8">
        <v>773.36199999999997</v>
      </c>
      <c r="AU8">
        <v>69.456000000000003</v>
      </c>
      <c r="AV8">
        <v>129.63300000000001</v>
      </c>
      <c r="AW8">
        <v>330.71100000000001</v>
      </c>
      <c r="AX8">
        <v>270.53100000000001</v>
      </c>
      <c r="AY8">
        <v>1580.1579999999999</v>
      </c>
      <c r="AZ8">
        <v>405.28699999999998</v>
      </c>
      <c r="BA8">
        <v>2437.1779999999999</v>
      </c>
      <c r="BB8">
        <v>264.42099999999999</v>
      </c>
      <c r="BC8">
        <v>455.11</v>
      </c>
      <c r="BD8">
        <v>487.15</v>
      </c>
      <c r="BE8">
        <v>582.65300000000002</v>
      </c>
      <c r="BF8">
        <v>1024.2170000000001</v>
      </c>
      <c r="BG8">
        <v>1393.8969999999999</v>
      </c>
      <c r="BH8">
        <v>537.09699999999998</v>
      </c>
      <c r="BI8">
        <v>275.73099999999999</v>
      </c>
      <c r="BJ8">
        <v>686.22400000000005</v>
      </c>
      <c r="BK8">
        <v>2074.6170000000002</v>
      </c>
      <c r="BL8">
        <v>5410.2460000000001</v>
      </c>
      <c r="BM8">
        <v>496.74299999999999</v>
      </c>
      <c r="BN8">
        <v>1746.6210000000001</v>
      </c>
      <c r="BO8">
        <v>431.18799999999999</v>
      </c>
      <c r="BP8" s="19">
        <f t="array" ref="BP8">SUM(B8:BO8)</f>
        <v>78888.088999999993</v>
      </c>
    </row>
    <row r="9" spans="1:68" x14ac:dyDescent="0.3">
      <c r="A9" t="s">
        <v>327</v>
      </c>
      <c r="B9">
        <v>73.605999999999995</v>
      </c>
      <c r="C9">
        <v>216.17099999999999</v>
      </c>
      <c r="D9">
        <v>16.780999999999999</v>
      </c>
      <c r="E9">
        <v>37.537999999999997</v>
      </c>
      <c r="F9">
        <v>33.298999999999999</v>
      </c>
      <c r="G9">
        <v>367.55399999999997</v>
      </c>
      <c r="H9">
        <v>134.31700000000001</v>
      </c>
      <c r="I9">
        <v>6888.3850000000002</v>
      </c>
      <c r="J9">
        <v>48.781999999999996</v>
      </c>
      <c r="K9">
        <v>332.12799999999999</v>
      </c>
      <c r="L9">
        <v>150.32499999999999</v>
      </c>
      <c r="M9">
        <v>105.633</v>
      </c>
      <c r="N9">
        <v>66.8</v>
      </c>
      <c r="O9">
        <v>286.19900000000001</v>
      </c>
      <c r="P9">
        <v>8.5060000000000002</v>
      </c>
      <c r="Q9">
        <v>314.87299999999999</v>
      </c>
      <c r="R9">
        <v>99.790999999999997</v>
      </c>
      <c r="S9">
        <v>21.265000000000001</v>
      </c>
      <c r="T9">
        <v>581.19600000000003</v>
      </c>
      <c r="U9">
        <v>260.36099999999999</v>
      </c>
      <c r="V9">
        <v>335.22500000000002</v>
      </c>
      <c r="W9">
        <v>349.27800000000002</v>
      </c>
      <c r="X9">
        <v>2.2530000000000001</v>
      </c>
      <c r="Y9">
        <v>86.307000000000002</v>
      </c>
      <c r="Z9">
        <v>763.98400000000004</v>
      </c>
      <c r="AA9">
        <v>438.51799999999997</v>
      </c>
      <c r="AB9">
        <v>95.528999999999996</v>
      </c>
      <c r="AC9">
        <v>139.40299999999999</v>
      </c>
      <c r="AD9">
        <v>128.70500000000001</v>
      </c>
      <c r="AE9">
        <v>82.11</v>
      </c>
      <c r="AF9">
        <v>24.038</v>
      </c>
      <c r="AG9">
        <v>1252.5920000000001</v>
      </c>
      <c r="AH9">
        <v>263.63400000000001</v>
      </c>
      <c r="AI9">
        <v>176.62799999999999</v>
      </c>
      <c r="AJ9">
        <v>16.271999999999998</v>
      </c>
      <c r="AK9">
        <v>345.005</v>
      </c>
      <c r="AL9">
        <v>235.916</v>
      </c>
      <c r="AM9">
        <v>40.073999999999998</v>
      </c>
      <c r="AN9">
        <v>126.795</v>
      </c>
      <c r="AO9">
        <v>320.66699999999997</v>
      </c>
      <c r="AP9">
        <v>240.035</v>
      </c>
      <c r="AQ9">
        <v>271.82400000000001</v>
      </c>
      <c r="AR9">
        <v>247.17699999999999</v>
      </c>
      <c r="AS9">
        <v>425.59500000000003</v>
      </c>
      <c r="AT9">
        <v>277.488</v>
      </c>
      <c r="AU9">
        <v>3.5030000000000001</v>
      </c>
      <c r="AV9">
        <v>43.317</v>
      </c>
      <c r="AW9">
        <v>93.835999999999999</v>
      </c>
      <c r="AX9">
        <v>69.289000000000001</v>
      </c>
      <c r="AY9">
        <v>616.96900000000005</v>
      </c>
      <c r="AZ9">
        <v>131.08000000000001</v>
      </c>
      <c r="BA9">
        <v>763.37400000000002</v>
      </c>
      <c r="BB9">
        <v>103.38800000000001</v>
      </c>
      <c r="BC9">
        <v>140.125</v>
      </c>
      <c r="BD9">
        <v>101.803</v>
      </c>
      <c r="BE9">
        <v>198.696</v>
      </c>
      <c r="BF9">
        <v>391.32100000000003</v>
      </c>
      <c r="BG9">
        <v>503.38900000000001</v>
      </c>
      <c r="BH9">
        <v>206.74700000000001</v>
      </c>
      <c r="BI9">
        <v>62.042000000000002</v>
      </c>
      <c r="BJ9">
        <v>351.49700000000001</v>
      </c>
      <c r="BK9">
        <v>692.23299999999995</v>
      </c>
      <c r="BL9">
        <v>1877.4159999999999</v>
      </c>
      <c r="BM9">
        <v>211.82</v>
      </c>
      <c r="BN9">
        <v>491.827</v>
      </c>
      <c r="BO9">
        <v>74.040999999999997</v>
      </c>
      <c r="BP9" s="19">
        <f t="array" ref="BP9">SUM(B9:BO9)</f>
        <v>23856.275000000009</v>
      </c>
    </row>
    <row r="10" spans="1:68" x14ac:dyDescent="0.3">
      <c r="A10" s="18" t="s">
        <v>332</v>
      </c>
      <c r="B10" s="18">
        <f t="array" ref="B10">SUM(B2:B9)</f>
        <v>2650.451</v>
      </c>
      <c r="C10" s="18">
        <f t="array" ref="C10">SUM(C2:C9)</f>
        <v>7714.6289999999999</v>
      </c>
      <c r="D10" s="18">
        <f t="array" ref="D10">SUM(D2:D9)</f>
        <v>1786.864</v>
      </c>
      <c r="E10" s="18">
        <f t="array" ref="E10">SUM(E2:E9)</f>
        <v>1292.92</v>
      </c>
      <c r="F10" s="18">
        <f t="array" ref="F10">SUM(F2:F9)</f>
        <v>1238.3510000000001</v>
      </c>
      <c r="G10" s="18">
        <f t="array" ref="G10">SUM(G2:G9)</f>
        <v>19728.637000000002</v>
      </c>
      <c r="H10" s="18">
        <f t="array" ref="H10">SUM(H2:H9)</f>
        <v>5736.2550000000001</v>
      </c>
      <c r="I10" s="18">
        <f t="array" ref="I10">SUM(I2:I9)</f>
        <v>284889.39300000004</v>
      </c>
      <c r="J10" s="18">
        <f t="array" ref="J10">SUM(J2:J9)</f>
        <v>2584.2580000000003</v>
      </c>
      <c r="K10" s="18">
        <f t="array" ref="K10">SUM(K2:K9)</f>
        <v>5669.991</v>
      </c>
      <c r="L10" s="18">
        <f t="array" ref="L10">SUM(L2:L9)</f>
        <v>2572.27</v>
      </c>
      <c r="M10" s="18">
        <f t="array" ref="M10">SUM(M2:M9)</f>
        <v>2453.2459999999996</v>
      </c>
      <c r="N10" s="18">
        <f t="array" ref="N10">SUM(N2:N9)</f>
        <v>4007.8440000000001</v>
      </c>
      <c r="O10" s="18">
        <f t="array" ref="O10">SUM(O2:O9)</f>
        <v>6345.1220000000003</v>
      </c>
      <c r="P10" s="18">
        <f t="array" ref="P10">SUM(P2:P9)</f>
        <v>2172.6779999999999</v>
      </c>
      <c r="Q10" s="18">
        <f t="array" ref="Q10">SUM(Q2:Q9)</f>
        <v>17367.588999999996</v>
      </c>
      <c r="R10" s="18">
        <f t="array" ref="R10">SUM(R2:R9)</f>
        <v>3274.9809999999998</v>
      </c>
      <c r="S10" s="18">
        <f t="array" ref="S10">SUM(S2:S9)</f>
        <v>1412.0290000000002</v>
      </c>
      <c r="T10" s="18">
        <f t="array" ref="T10">SUM(T2:T9)</f>
        <v>18235.37</v>
      </c>
      <c r="U10" s="18">
        <f t="array" ref="U10">SUM(U2:U9)</f>
        <v>5824.5080000000007</v>
      </c>
      <c r="V10" s="18">
        <f t="array" ref="V10">SUM(V2:V9)</f>
        <v>10873.511999999999</v>
      </c>
      <c r="W10" s="18">
        <f t="array" ref="W10">SUM(W2:W9)</f>
        <v>10243.824999999999</v>
      </c>
      <c r="X10" s="18">
        <f t="array" ref="X10">SUM(X2:X9)</f>
        <v>482.53499999999997</v>
      </c>
      <c r="Y10" s="18">
        <f t="array" ref="Y10">SUM(Y2:Y9)</f>
        <v>2205.2579999999998</v>
      </c>
      <c r="Z10" s="18">
        <f t="array" ref="Z10">SUM(Z2:Z9)</f>
        <v>28972.593000000001</v>
      </c>
      <c r="AA10" s="18">
        <f t="array" ref="AA10">SUM(AA2:AA9)</f>
        <v>23707.923999999995</v>
      </c>
      <c r="AB10" s="18">
        <f t="array" ref="AB10">SUM(AB2:AB9)</f>
        <v>4272.1170000000002</v>
      </c>
      <c r="AC10" s="18">
        <f t="array" ref="AC10">SUM(AC2:AC9)</f>
        <v>6013.3289999999997</v>
      </c>
      <c r="AD10" s="18">
        <f t="array" ref="AD10">SUM(AD2:AD9)</f>
        <v>6070.1469999999999</v>
      </c>
      <c r="AE10" s="18">
        <f t="array" ref="AE10">SUM(AE2:AE9)</f>
        <v>3575.5259999999998</v>
      </c>
      <c r="AF10" s="18">
        <f t="array" ref="AF10">SUM(AF2:AF9)</f>
        <v>3196.6179999999999</v>
      </c>
      <c r="AG10" s="18">
        <f t="array" ref="AG10">SUM(AG2:AG9)</f>
        <v>30367.784</v>
      </c>
      <c r="AH10" s="18">
        <f t="array" ref="AH10">SUM(AH2:AH9)</f>
        <v>5101.7640000000001</v>
      </c>
      <c r="AI10" s="18">
        <f t="array" ref="AI10">SUM(AI2:AI9)</f>
        <v>7568.6949999999997</v>
      </c>
      <c r="AJ10" s="18">
        <f t="array" ref="AJ10">SUM(AJ2:AJ9)</f>
        <v>828.39600000000007</v>
      </c>
      <c r="AK10" s="18">
        <f t="array" ref="AK10">SUM(AK2:AK9)</f>
        <v>18807.065000000002</v>
      </c>
      <c r="AL10" s="18">
        <f t="array" ref="AL10">SUM(AL2:AL9)</f>
        <v>5995.5280000000002</v>
      </c>
      <c r="AM10" s="18">
        <f t="array" ref="AM10">SUM(AM2:AM9)</f>
        <v>2925.5920000000001</v>
      </c>
      <c r="AN10" s="18">
        <f t="array" ref="AN10">SUM(AN2:AN9)</f>
        <v>3085.2510000000002</v>
      </c>
      <c r="AO10" s="18">
        <f t="array" ref="AO10">SUM(AO2:AO9)</f>
        <v>22792.982</v>
      </c>
      <c r="AP10" s="18">
        <f t="array" ref="AP10">SUM(AP2:AP9)</f>
        <v>5425.8540000000003</v>
      </c>
      <c r="AQ10" s="18">
        <f t="array" ref="AQ10">SUM(AQ2:AQ9)</f>
        <v>12217.433000000001</v>
      </c>
      <c r="AR10" s="18">
        <f t="array" ref="AR10">SUM(AR2:AR9)</f>
        <v>8524.9159999999993</v>
      </c>
      <c r="AS10" s="18">
        <f t="array" ref="AS10">SUM(AS2:AS9)</f>
        <v>10520.021999999999</v>
      </c>
      <c r="AT10" s="18">
        <f t="array" ref="AT10">SUM(AT2:AT9)</f>
        <v>8590.0499999999993</v>
      </c>
      <c r="AU10" s="18">
        <f t="array" ref="AU10">SUM(AU2:AU9)</f>
        <v>776.57300000000009</v>
      </c>
      <c r="AV10" s="18">
        <f t="array" ref="AV10">SUM(AV2:AV9)</f>
        <v>1051.828</v>
      </c>
      <c r="AW10" s="18">
        <f t="array" ref="AW10">SUM(AW2:AW9)</f>
        <v>4590.1850000000004</v>
      </c>
      <c r="AX10" s="18">
        <f t="array" ref="AX10">SUM(AX2:AX9)</f>
        <v>3502.9810000000002</v>
      </c>
      <c r="AY10" s="18">
        <f t="array" ref="AY10">SUM(AY2:AY9)</f>
        <v>15335.194</v>
      </c>
      <c r="AZ10" s="18">
        <f t="array" ref="AZ10">SUM(AZ2:AZ9)</f>
        <v>4108.4940000000006</v>
      </c>
      <c r="BA10" s="18">
        <f t="array" ref="BA10">SUM(BA2:BA9)</f>
        <v>24147.945</v>
      </c>
      <c r="BB10" s="18">
        <f t="array" ref="BB10">SUM(BB2:BB9)</f>
        <v>2543.462</v>
      </c>
      <c r="BC10" s="18">
        <f t="array" ref="BC10">SUM(BC2:BC9)</f>
        <v>5239.3379999999988</v>
      </c>
      <c r="BD10" s="18">
        <f t="array" ref="BD10">SUM(BD2:BD9)</f>
        <v>5393.4699999999993</v>
      </c>
      <c r="BE10" s="18">
        <f t="array" ref="BE10">SUM(BE2:BE9)</f>
        <v>5608.2150000000001</v>
      </c>
      <c r="BF10" s="18">
        <f t="array" ref="BF10">SUM(BF2:BF9)</f>
        <v>9886.1150000000016</v>
      </c>
      <c r="BG10" s="18">
        <f t="array" ref="BG10">SUM(BG2:BG9)</f>
        <v>18856.491000000002</v>
      </c>
      <c r="BH10" s="18">
        <f t="array" ref="BH10">SUM(BH2:BH9)</f>
        <v>4473.308</v>
      </c>
      <c r="BI10" s="18">
        <f t="array" ref="BI10">SUM(BI2:BI9)</f>
        <v>10065.687</v>
      </c>
      <c r="BJ10" s="18">
        <f t="array" ref="BJ10">SUM(BJ2:BJ9)</f>
        <v>8159.3600000000015</v>
      </c>
      <c r="BK10" s="18">
        <f t="array" ref="BK10">SUM(BK2:BK9)</f>
        <v>27134.932000000001</v>
      </c>
      <c r="BL10" s="18">
        <f t="array" ref="BL10">SUM(BL2:BL9)</f>
        <v>66657.962</v>
      </c>
      <c r="BM10" s="18">
        <f t="array" ref="BM10">SUM(BM2:BM9)</f>
        <v>8477.6679999999997</v>
      </c>
      <c r="BN10" s="18">
        <f t="array" ref="BN10">SUM(BN2:BN9)</f>
        <v>16563.2</v>
      </c>
      <c r="BO10" s="18">
        <f t="array" ref="BO10">SUM(BO2:BO9)</f>
        <v>4278.701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20087-E8E5-40BE-9FB5-6F2CD4499898}">
  <dimension ref="A1:BP10"/>
  <sheetViews>
    <sheetView workbookViewId="0">
      <selection activeCell="C7" sqref="C7"/>
    </sheetView>
  </sheetViews>
  <sheetFormatPr defaultRowHeight="14.4" x14ac:dyDescent="0.3"/>
  <cols>
    <col min="1" max="1" width="12.5546875" bestFit="1" customWidth="1"/>
    <col min="68" max="68" width="11.44140625" bestFit="1" customWidth="1"/>
  </cols>
  <sheetData>
    <row r="1" spans="1:68" x14ac:dyDescent="0.3">
      <c r="A1" t="s">
        <v>331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269</v>
      </c>
      <c r="P1" t="s">
        <v>270</v>
      </c>
      <c r="Q1" t="s">
        <v>271</v>
      </c>
      <c r="R1" t="s">
        <v>272</v>
      </c>
      <c r="S1" t="s">
        <v>273</v>
      </c>
      <c r="T1" t="s">
        <v>274</v>
      </c>
      <c r="U1" t="s">
        <v>275</v>
      </c>
      <c r="V1" t="s">
        <v>276</v>
      </c>
      <c r="W1" t="s">
        <v>277</v>
      </c>
      <c r="X1" t="s">
        <v>278</v>
      </c>
      <c r="Y1" t="s">
        <v>279</v>
      </c>
      <c r="Z1" t="s">
        <v>280</v>
      </c>
      <c r="AA1" t="s">
        <v>281</v>
      </c>
      <c r="AB1" t="s">
        <v>282</v>
      </c>
      <c r="AC1" t="s">
        <v>283</v>
      </c>
      <c r="AD1" t="s">
        <v>284</v>
      </c>
      <c r="AE1" t="s">
        <v>285</v>
      </c>
      <c r="AF1" t="s">
        <v>286</v>
      </c>
      <c r="AG1" t="s">
        <v>287</v>
      </c>
      <c r="AH1" t="s">
        <v>288</v>
      </c>
      <c r="AI1" t="s">
        <v>289</v>
      </c>
      <c r="AJ1" t="s">
        <v>290</v>
      </c>
      <c r="AK1" t="s">
        <v>291</v>
      </c>
      <c r="AL1" t="s">
        <v>292</v>
      </c>
      <c r="AM1" t="s">
        <v>293</v>
      </c>
      <c r="AN1" t="s">
        <v>294</v>
      </c>
      <c r="AO1" t="s">
        <v>295</v>
      </c>
      <c r="AP1" t="s">
        <v>296</v>
      </c>
      <c r="AQ1" t="s">
        <v>297</v>
      </c>
      <c r="AR1" t="s">
        <v>298</v>
      </c>
      <c r="AS1" t="s">
        <v>299</v>
      </c>
      <c r="AT1" t="s">
        <v>300</v>
      </c>
      <c r="AU1" t="s">
        <v>301</v>
      </c>
      <c r="AV1" t="s">
        <v>302</v>
      </c>
      <c r="AW1" t="s">
        <v>303</v>
      </c>
      <c r="AX1" t="s">
        <v>304</v>
      </c>
      <c r="AY1" t="s">
        <v>305</v>
      </c>
      <c r="AZ1" t="s">
        <v>306</v>
      </c>
      <c r="BA1" t="s">
        <v>307</v>
      </c>
      <c r="BB1" t="s">
        <v>308</v>
      </c>
      <c r="BC1" t="s">
        <v>309</v>
      </c>
      <c r="BD1" t="s">
        <v>310</v>
      </c>
      <c r="BE1" t="s">
        <v>311</v>
      </c>
      <c r="BF1" t="s">
        <v>312</v>
      </c>
      <c r="BG1" t="s">
        <v>313</v>
      </c>
      <c r="BH1" t="s">
        <v>314</v>
      </c>
      <c r="BI1" t="s">
        <v>315</v>
      </c>
      <c r="BJ1" t="s">
        <v>316</v>
      </c>
      <c r="BK1" t="s">
        <v>317</v>
      </c>
      <c r="BL1" t="s">
        <v>318</v>
      </c>
      <c r="BM1" t="s">
        <v>319</v>
      </c>
      <c r="BN1" t="s">
        <v>320</v>
      </c>
      <c r="BO1" t="s">
        <v>321</v>
      </c>
      <c r="BP1" s="18" t="s">
        <v>333</v>
      </c>
    </row>
    <row r="2" spans="1:68" x14ac:dyDescent="0.3">
      <c r="A2" t="s">
        <v>322</v>
      </c>
      <c r="B2" s="21">
        <f>Make!B2/Make!$BP2</f>
        <v>1.353735939614404E-2</v>
      </c>
      <c r="C2" s="21">
        <f>Make!C2/Make!$BP2</f>
        <v>1.8312128770128257E-2</v>
      </c>
      <c r="D2" s="21">
        <f>Make!D2/Make!$BP2</f>
        <v>3.4731287740682425E-3</v>
      </c>
      <c r="E2" s="21">
        <f>Make!E2/Make!$BP2</f>
        <v>6.152861576314771E-3</v>
      </c>
      <c r="F2" s="21">
        <f>Make!F2/Make!$BP2</f>
        <v>2.6329836356824184E-3</v>
      </c>
      <c r="G2" s="21">
        <f>Make!G2/Make!$BP2</f>
        <v>5.0048670737726654E-2</v>
      </c>
      <c r="H2" s="21">
        <f>Make!H2/Make!$BP2</f>
        <v>1.2106442227508639E-2</v>
      </c>
      <c r="I2" s="21">
        <f>Make!I2/Make!$BP2</f>
        <v>6.7860806293382356E-2</v>
      </c>
      <c r="J2" s="21">
        <f>Make!J2/Make!$BP2</f>
        <v>2.4955485149093823E-3</v>
      </c>
      <c r="K2" s="21">
        <f>Make!K2/Make!$BP2</f>
        <v>1.2733111886794107E-2</v>
      </c>
      <c r="L2" s="21">
        <f>Make!L2/Make!$BP2</f>
        <v>6.9929801828239983E-3</v>
      </c>
      <c r="M2" s="21">
        <f>Make!M2/Make!$BP2</f>
        <v>9.2303337406285935E-3</v>
      </c>
      <c r="N2" s="21">
        <f>Make!N2/Make!$BP2</f>
        <v>9.6700067336576209E-3</v>
      </c>
      <c r="O2" s="21">
        <f>Make!O2/Make!$BP2</f>
        <v>7.0101463069823294E-3</v>
      </c>
      <c r="P2" s="21">
        <f>Make!P2/Make!$BP2</f>
        <v>4.4870842360417423E-3</v>
      </c>
      <c r="Q2" s="21">
        <f>Make!Q2/Make!$BP2</f>
        <v>3.4303859208702965E-3</v>
      </c>
      <c r="R2" s="21">
        <f>Make!R2/Make!$BP2</f>
        <v>7.3478572982486586E-3</v>
      </c>
      <c r="S2" s="21">
        <f>Make!S2/Make!$BP2</f>
        <v>2.381116531146042E-3</v>
      </c>
      <c r="T2" s="21">
        <f>Make!T2/Make!$BP2</f>
        <v>1.3573986651786352E-2</v>
      </c>
      <c r="U2" s="21">
        <f>Make!U2/Make!$BP2</f>
        <v>8.9582360801869192E-3</v>
      </c>
      <c r="V2" s="21">
        <f>Make!V2/Make!$BP2</f>
        <v>3.2719468399891573E-2</v>
      </c>
      <c r="W2" s="21">
        <f>Make!W2/Make!$BP2</f>
        <v>1.6710731028418122E-2</v>
      </c>
      <c r="X2" s="21">
        <f>Make!X2/Make!$BP2</f>
        <v>9.5594351379391606E-4</v>
      </c>
      <c r="Y2" s="21">
        <f>Make!Y2/Make!$BP2</f>
        <v>5.5933706285731886E-3</v>
      </c>
      <c r="Z2" s="21">
        <f>Make!Z2/Make!$BP2</f>
        <v>6.390441265303603E-3</v>
      </c>
      <c r="AA2" s="21">
        <f>Make!AA2/Make!$BP2</f>
        <v>1.31179965546501E-2</v>
      </c>
      <c r="AB2" s="21">
        <f>Make!AB2/Make!$BP2</f>
        <v>4.0061276430276094E-3</v>
      </c>
      <c r="AC2" s="21">
        <f>Make!AC2/Make!$BP2</f>
        <v>7.5341906675901694E-3</v>
      </c>
      <c r="AD2" s="21">
        <f>Make!AD2/Make!$BP2</f>
        <v>1.8034751266243761E-2</v>
      </c>
      <c r="AE2" s="21">
        <f>Make!AE2/Make!$BP2</f>
        <v>1.0185176181543729E-2</v>
      </c>
      <c r="AF2" s="21">
        <f>Make!AF2/Make!$BP2</f>
        <v>7.3521156644424952E-3</v>
      </c>
      <c r="AG2" s="21">
        <f>Make!AG2/Make!$BP2</f>
        <v>1.2953843834143774E-2</v>
      </c>
      <c r="AH2" s="21">
        <f>Make!AH2/Make!$BP2</f>
        <v>9.0928057582874665E-3</v>
      </c>
      <c r="AI2" s="21">
        <f>Make!AI2/Make!$BP2</f>
        <v>1.8972984752409102E-2</v>
      </c>
      <c r="AJ2" s="21">
        <f>Make!AJ2/Make!$BP2</f>
        <v>2.0809614112029229E-3</v>
      </c>
      <c r="AK2" s="21">
        <f>Make!AK2/Make!$BP2</f>
        <v>1.1398465632391323E-2</v>
      </c>
      <c r="AL2" s="21">
        <f>Make!AL2/Make!$BP2</f>
        <v>1.1061815916188879E-2</v>
      </c>
      <c r="AM2" s="21">
        <f>Make!AM2/Make!$BP2</f>
        <v>1.3073568927288238E-2</v>
      </c>
      <c r="AN2" s="21">
        <f>Make!AN2/Make!$BP2</f>
        <v>8.185017600517307E-3</v>
      </c>
      <c r="AO2" s="21">
        <f>Make!AO2/Make!$BP2</f>
        <v>6.3921260394675201E-3</v>
      </c>
      <c r="AP2" s="21">
        <f>Make!AP2/Make!$BP2</f>
        <v>1.504498022002169E-2</v>
      </c>
      <c r="AQ2" s="21">
        <f>Make!AQ2/Make!$BP2</f>
        <v>3.9838806645009314E-2</v>
      </c>
      <c r="AR2" s="21">
        <f>Make!AR2/Make!$BP2</f>
        <v>1.9172902442568335E-2</v>
      </c>
      <c r="AS2" s="21">
        <f>Make!AS2/Make!$BP2</f>
        <v>3.0613089450908623E-2</v>
      </c>
      <c r="AT2" s="21">
        <f>Make!AT2/Make!$BP2</f>
        <v>3.6323677910287844E-2</v>
      </c>
      <c r="AU2" s="21">
        <f>Make!AU2/Make!$BP2</f>
        <v>3.4253183324402482E-3</v>
      </c>
      <c r="AV2" s="21">
        <f>Make!AV2/Make!$BP2</f>
        <v>8.4939149737991754E-4</v>
      </c>
      <c r="AW2" s="21">
        <f>Make!AW2/Make!$BP2</f>
        <v>5.6528418299656141E-3</v>
      </c>
      <c r="AX2" s="21">
        <f>Make!AX2/Make!$BP2</f>
        <v>1.2965531125784802E-2</v>
      </c>
      <c r="AY2" s="21">
        <f>Make!AY2/Make!$BP2</f>
        <v>2.0333565916185563E-2</v>
      </c>
      <c r="AZ2" s="21">
        <f>Make!AZ2/Make!$BP2</f>
        <v>1.721864400805492E-2</v>
      </c>
      <c r="BA2" s="21">
        <f>Make!BA2/Make!$BP2</f>
        <v>1.0403201877480488E-2</v>
      </c>
      <c r="BB2" s="21">
        <f>Make!BB2/Make!$BP2</f>
        <v>4.0286266743819596E-3</v>
      </c>
      <c r="BC2" s="21">
        <f>Make!BC2/Make!$BP2</f>
        <v>9.1413060287069865E-3</v>
      </c>
      <c r="BD2" s="21">
        <f>Make!BD2/Make!$BP2</f>
        <v>8.8661041387034512E-3</v>
      </c>
      <c r="BE2" s="21">
        <f>Make!BE2/Make!$BP2</f>
        <v>1.1881823360237496E-2</v>
      </c>
      <c r="BF2" s="21">
        <f>Make!BF2/Make!$BP2</f>
        <v>2.024314528074261E-2</v>
      </c>
      <c r="BG2" s="21">
        <f>Make!BG2/Make!$BP2</f>
        <v>1.5676969520564878E-2</v>
      </c>
      <c r="BH2" s="21">
        <f>Make!BH2/Make!$BP2</f>
        <v>8.1281465230313987E-3</v>
      </c>
      <c r="BI2" s="21">
        <f>Make!BI2/Make!$BP2</f>
        <v>9.4317239499389655E-3</v>
      </c>
      <c r="BJ2" s="21">
        <f>Make!BJ2/Make!$BP2</f>
        <v>1.0812230553039854E-2</v>
      </c>
      <c r="BK2" s="21">
        <f>Make!BK2/Make!$BP2</f>
        <v>2.6000005332907195E-2</v>
      </c>
      <c r="BL2" s="21">
        <f>Make!BL2/Make!$BP2</f>
        <v>9.1579547812716725E-2</v>
      </c>
      <c r="BM2" s="21">
        <f>Make!BM2/Make!$BP2</f>
        <v>5.5162252175855984E-2</v>
      </c>
      <c r="BN2" s="21">
        <f>Make!BN2/Make!$BP2</f>
        <v>2.6956134569837292E-2</v>
      </c>
      <c r="BO2" s="21">
        <f>Make!BO2/Make!$BP2</f>
        <v>1.2002954642841606E-2</v>
      </c>
      <c r="BP2" s="19">
        <f t="array" ref="BP2">SUM(B2:BO2)</f>
        <v>0.99999999999999967</v>
      </c>
    </row>
    <row r="3" spans="1:68" x14ac:dyDescent="0.3">
      <c r="A3" t="s">
        <v>323</v>
      </c>
      <c r="B3" s="21">
        <f>Make!B3/Make!$BP3</f>
        <v>6.0600818189527575E-4</v>
      </c>
      <c r="C3" s="21">
        <f>Make!C3/Make!$BP3</f>
        <v>1.803685675158659E-3</v>
      </c>
      <c r="D3" s="21">
        <f>Make!D3/Make!$BP3</f>
        <v>3.4286021183602513E-4</v>
      </c>
      <c r="E3" s="21">
        <f>Make!E3/Make!$BP3</f>
        <v>3.0408586964125565E-4</v>
      </c>
      <c r="F3" s="21">
        <f>Make!F3/Make!$BP3</f>
        <v>2.8694710131884114E-4</v>
      </c>
      <c r="G3" s="21">
        <f>Make!G3/Make!$BP3</f>
        <v>1.1626151367820078E-2</v>
      </c>
      <c r="H3" s="21">
        <f>Make!H3/Make!$BP3</f>
        <v>1.7605842181894183E-3</v>
      </c>
      <c r="I3" s="21">
        <f>Make!I3/Make!$BP3</f>
        <v>0.50336621954702865</v>
      </c>
      <c r="J3" s="21">
        <f>Make!J3/Make!$BP3</f>
        <v>4.3640225181355987E-4</v>
      </c>
      <c r="K3" s="21">
        <f>Make!K3/Make!$BP3</f>
        <v>1.8906521975867523E-3</v>
      </c>
      <c r="L3" s="21">
        <f>Make!L3/Make!$BP3</f>
        <v>6.9412011705778794E-4</v>
      </c>
      <c r="M3" s="21">
        <f>Make!M3/Make!$BP3</f>
        <v>4.0182775631165924E-4</v>
      </c>
      <c r="N3" s="21">
        <f>Make!N3/Make!$BP3</f>
        <v>7.4956657794243112E-4</v>
      </c>
      <c r="O3" s="21">
        <f>Make!O3/Make!$BP3</f>
        <v>4.3319509615718718E-3</v>
      </c>
      <c r="P3" s="21">
        <f>Make!P3/Make!$BP3</f>
        <v>7.7811280864577949E-3</v>
      </c>
      <c r="Q3" s="21">
        <f>Make!Q3/Make!$BP3</f>
        <v>5.0650660188325397E-2</v>
      </c>
      <c r="R3" s="21">
        <f>Make!R3/Make!$BP3</f>
        <v>6.3426169601093932E-4</v>
      </c>
      <c r="S3" s="21">
        <f>Make!S3/Make!$BP3</f>
        <v>3.4591464579447525E-4</v>
      </c>
      <c r="T3" s="21">
        <f>Make!T3/Make!$BP3</f>
        <v>2.3560164225035603E-2</v>
      </c>
      <c r="U3" s="21">
        <f>Make!U3/Make!$BP3</f>
        <v>2.8184789351598412E-3</v>
      </c>
      <c r="V3" s="21">
        <f>Make!V3/Make!$BP3</f>
        <v>6.9449767903320761E-3</v>
      </c>
      <c r="W3" s="21">
        <f>Make!W3/Make!$BP3</f>
        <v>2.2088224015919724E-3</v>
      </c>
      <c r="X3" s="21">
        <f>Make!X3/Make!$BP3</f>
        <v>5.7164579986271195E-4</v>
      </c>
      <c r="Y3" s="21">
        <f>Make!Y3/Make!$BP3</f>
        <v>7.2602198284604476E-4</v>
      </c>
      <c r="Z3" s="21">
        <f>Make!Z3/Make!$BP3</f>
        <v>4.3455644040339081E-2</v>
      </c>
      <c r="AA3" s="21">
        <f>Make!AA3/Make!$BP3</f>
        <v>7.1227490889832587E-2</v>
      </c>
      <c r="AB3" s="21">
        <f>Make!AB3/Make!$BP3</f>
        <v>1.2909946929634207E-2</v>
      </c>
      <c r="AC3" s="21">
        <f>Make!AC3/Make!$BP3</f>
        <v>2.7550145851342662E-3</v>
      </c>
      <c r="AD3" s="21">
        <f>Make!AD3/Make!$BP3</f>
        <v>2.1875262092705561E-3</v>
      </c>
      <c r="AE3" s="21">
        <f>Make!AE3/Make!$BP3</f>
        <v>2.2107314228160036E-3</v>
      </c>
      <c r="AF3" s="21">
        <f>Make!AF3/Make!$BP3</f>
        <v>3.6428367223904326E-4</v>
      </c>
      <c r="AG3" s="21">
        <f>Make!AG3/Make!$BP3</f>
        <v>1.2080710532608868E-2</v>
      </c>
      <c r="AH3" s="21">
        <f>Make!AH3/Make!$BP3</f>
        <v>1.6980531674289257E-3</v>
      </c>
      <c r="AI3" s="21">
        <f>Make!AI3/Make!$BP3</f>
        <v>5.531919280304093E-3</v>
      </c>
      <c r="AJ3" s="21">
        <f>Make!AJ3/Make!$BP3</f>
        <v>1.6141835016531499E-4</v>
      </c>
      <c r="AK3" s="21">
        <f>Make!AK3/Make!$BP3</f>
        <v>4.9869149321900841E-3</v>
      </c>
      <c r="AL3" s="21">
        <f>Make!AL3/Make!$BP3</f>
        <v>2.9692916118583155E-3</v>
      </c>
      <c r="AM3" s="21">
        <f>Make!AM3/Make!$BP3</f>
        <v>6.0291132524295825E-4</v>
      </c>
      <c r="AN3" s="21">
        <f>Make!AN3/Make!$BP3</f>
        <v>3.4055241728964056E-3</v>
      </c>
      <c r="AO3" s="21">
        <f>Make!AO3/Make!$BP3</f>
        <v>8.6566306734148779E-2</v>
      </c>
      <c r="AP3" s="21">
        <f>Make!AP3/Make!$BP3</f>
        <v>1.9247600434561119E-3</v>
      </c>
      <c r="AQ3" s="21">
        <f>Make!AQ3/Make!$BP3</f>
        <v>1.087607571755124E-2</v>
      </c>
      <c r="AR3" s="21">
        <f>Make!AR3/Make!$BP3</f>
        <v>5.2974914739930459E-3</v>
      </c>
      <c r="AS3" s="21">
        <f>Make!AS3/Make!$BP3</f>
        <v>2.4018880813823397E-3</v>
      </c>
      <c r="AT3" s="21">
        <f>Make!AT3/Make!$BP3</f>
        <v>1.5425739944050416E-3</v>
      </c>
      <c r="AU3" s="21">
        <f>Make!AU3/Make!$BP3</f>
        <v>9.7572195894934138E-5</v>
      </c>
      <c r="AV3" s="21">
        <f>Make!AV3/Make!$BP3</f>
        <v>2.6246920695737288E-4</v>
      </c>
      <c r="AW3" s="21">
        <f>Make!AW3/Make!$BP3</f>
        <v>1.1748965066566092E-3</v>
      </c>
      <c r="AX3" s="21">
        <f>Make!AX3/Make!$BP3</f>
        <v>9.8539433315110014E-4</v>
      </c>
      <c r="AY3" s="21">
        <f>Make!AY3/Make!$BP3</f>
        <v>1.0941746047657916E-2</v>
      </c>
      <c r="AZ3" s="21">
        <f>Make!AZ3/Make!$BP3</f>
        <v>1.1419764962155357E-3</v>
      </c>
      <c r="BA3" s="21">
        <f>Make!BA3/Make!$BP3</f>
        <v>1.0096134490799775E-2</v>
      </c>
      <c r="BB3" s="21">
        <f>Make!BB3/Make!$BP3</f>
        <v>5.2421722811900047E-4</v>
      </c>
      <c r="BC3" s="21">
        <f>Make!BC3/Make!$BP3</f>
        <v>2.0594096737911209E-3</v>
      </c>
      <c r="BD3" s="21">
        <f>Make!BD3/Make!$BP3</f>
        <v>3.0898569078293601E-3</v>
      </c>
      <c r="BE3" s="21">
        <f>Make!BE3/Make!$BP3</f>
        <v>1.6909261548592089E-3</v>
      </c>
      <c r="BF3" s="21">
        <f>Make!BF3/Make!$BP3</f>
        <v>2.8554291015183142E-3</v>
      </c>
      <c r="BG3" s="21">
        <f>Make!BG3/Make!$BP3</f>
        <v>9.4402796436103484E-3</v>
      </c>
      <c r="BH3" s="21">
        <f>Make!BH3/Make!$BP3</f>
        <v>8.936340463159948E-4</v>
      </c>
      <c r="BI3" s="21">
        <f>Make!BI3/Make!$BP3</f>
        <v>2.576881693585211E-3</v>
      </c>
      <c r="BJ3" s="21">
        <f>Make!BJ3/Make!$BP3</f>
        <v>4.6605995709623309E-3</v>
      </c>
      <c r="BK3" s="21">
        <f>Make!BK3/Make!$BP3</f>
        <v>1.2320610866428805E-2</v>
      </c>
      <c r="BL3" s="21">
        <f>Make!BL3/Make!$BP3</f>
        <v>2.7738926839052432E-2</v>
      </c>
      <c r="BM3" s="21">
        <f>Make!BM3/Make!$BP3</f>
        <v>1.519708162410533E-3</v>
      </c>
      <c r="BN3" s="21">
        <f>Make!BN3/Make!$BP3</f>
        <v>5.1831198913266366E-3</v>
      </c>
      <c r="BO3" s="21">
        <f>Make!BO3/Make!$BP3</f>
        <v>7.4659698937171572E-4</v>
      </c>
      <c r="BP3" s="19">
        <f t="array" ref="BP3">SUM(B3:BO3)</f>
        <v>1.0000000000000007</v>
      </c>
    </row>
    <row r="4" spans="1:68" x14ac:dyDescent="0.3">
      <c r="A4" t="s">
        <v>324</v>
      </c>
      <c r="B4" s="21">
        <f>Make!B4/Make!$BP4</f>
        <v>5.4822103930461988E-4</v>
      </c>
      <c r="C4" s="21">
        <f>Make!C4/Make!$BP4</f>
        <v>3.8763791199485065E-3</v>
      </c>
      <c r="D4" s="21">
        <f>Make!D4/Make!$BP4</f>
        <v>8.6984353830867078E-4</v>
      </c>
      <c r="E4" s="21">
        <f>Make!E4/Make!$BP4</f>
        <v>4.0355496771909266E-4</v>
      </c>
      <c r="F4" s="21">
        <f>Make!F4/Make!$BP4</f>
        <v>5.6389167198909248E-4</v>
      </c>
      <c r="G4" s="21">
        <f>Make!G4/Make!$BP4</f>
        <v>2.9624186223023267E-2</v>
      </c>
      <c r="H4" s="21">
        <f>Make!H4/Make!$BP4</f>
        <v>3.8028863211447381E-3</v>
      </c>
      <c r="I4" s="21">
        <f>Make!I4/Make!$BP4</f>
        <v>0.31346974382167236</v>
      </c>
      <c r="J4" s="21">
        <f>Make!J4/Make!$BP4</f>
        <v>7.1270905675235854E-3</v>
      </c>
      <c r="K4" s="21">
        <f>Make!K4/Make!$BP4</f>
        <v>3.111322829691004E-3</v>
      </c>
      <c r="L4" s="21">
        <f>Make!L4/Make!$BP4</f>
        <v>1.2440320297858131E-3</v>
      </c>
      <c r="M4" s="21">
        <f>Make!M4/Make!$BP4</f>
        <v>1.0118708830434719E-3</v>
      </c>
      <c r="N4" s="21">
        <f>Make!N4/Make!$BP4</f>
        <v>1.4873098773895998E-3</v>
      </c>
      <c r="O4" s="21">
        <f>Make!O4/Make!$BP4</f>
        <v>4.346038451289334E-3</v>
      </c>
      <c r="P4" s="21">
        <f>Make!P4/Make!$BP4</f>
        <v>2.0841005147917762E-3</v>
      </c>
      <c r="Q4" s="21">
        <f>Make!Q4/Make!$BP4</f>
        <v>3.4569007124885968E-2</v>
      </c>
      <c r="R4" s="21">
        <f>Make!R4/Make!$BP4</f>
        <v>1.3350170340032648E-3</v>
      </c>
      <c r="S4" s="21">
        <f>Make!S4/Make!$BP4</f>
        <v>5.4962977896202351E-4</v>
      </c>
      <c r="T4" s="21">
        <f>Make!T4/Make!$BP4</f>
        <v>1.6345074243474041E-2</v>
      </c>
      <c r="U4" s="21">
        <f>Make!U4/Make!$BP4</f>
        <v>6.7037451484240479E-3</v>
      </c>
      <c r="V4" s="21">
        <f>Make!V4/Make!$BP4</f>
        <v>8.5748365661964931E-3</v>
      </c>
      <c r="W4" s="21">
        <f>Make!W4/Make!$BP4</f>
        <v>2.9418697497528507E-3</v>
      </c>
      <c r="X4" s="21">
        <f>Make!X4/Make!$BP4</f>
        <v>1.1012386030620916E-3</v>
      </c>
      <c r="Y4" s="21">
        <f>Make!Y4/Make!$BP4</f>
        <v>1.4669704005837621E-3</v>
      </c>
      <c r="Z4" s="21">
        <f>Make!Z4/Make!$BP4</f>
        <v>5.2737603350631546E-2</v>
      </c>
      <c r="AA4" s="21">
        <f>Make!AA4/Make!$BP4</f>
        <v>4.2707649374624311E-2</v>
      </c>
      <c r="AB4" s="21">
        <f>Make!AB4/Make!$BP4</f>
        <v>8.4199518120809773E-3</v>
      </c>
      <c r="AC4" s="21">
        <f>Make!AC4/Make!$BP4</f>
        <v>5.710149576827377E-3</v>
      </c>
      <c r="AD4" s="21">
        <f>Make!AD4/Make!$BP4</f>
        <v>3.8303546164585854E-3</v>
      </c>
      <c r="AE4" s="21">
        <f>Make!AE4/Make!$BP4</f>
        <v>1.9429967244547288E-3</v>
      </c>
      <c r="AF4" s="21">
        <f>Make!AF4/Make!$BP4</f>
        <v>9.6514413773037423E-4</v>
      </c>
      <c r="AG4" s="21">
        <f>Make!AG4/Make!$BP4</f>
        <v>3.4369344878518053E-2</v>
      </c>
      <c r="AH4" s="21">
        <f>Make!AH4/Make!$BP4</f>
        <v>3.0365872756607645E-3</v>
      </c>
      <c r="AI4" s="21">
        <f>Make!AI4/Make!$BP4</f>
        <v>6.5794100416222594E-3</v>
      </c>
      <c r="AJ4" s="21">
        <f>Make!AJ4/Make!$BP4</f>
        <v>2.617361675257199E-4</v>
      </c>
      <c r="AK4" s="21">
        <f>Make!AK4/Make!$BP4</f>
        <v>3.1067046321011284E-2</v>
      </c>
      <c r="AL4" s="21">
        <f>Make!AL4/Make!$BP4</f>
        <v>2.1808566699924284E-3</v>
      </c>
      <c r="AM4" s="21">
        <f>Make!AM4/Make!$BP4</f>
        <v>7.1129435867948543E-4</v>
      </c>
      <c r="AN4" s="21">
        <f>Make!AN4/Make!$BP4</f>
        <v>1.4818664392572151E-3</v>
      </c>
      <c r="AO4" s="21">
        <f>Make!AO4/Make!$BP4</f>
        <v>4.7766667564968758E-2</v>
      </c>
      <c r="AP4" s="21">
        <f>Make!AP4/Make!$BP4</f>
        <v>2.9954784649330836E-3</v>
      </c>
      <c r="AQ4" s="21">
        <f>Make!AQ4/Make!$BP4</f>
        <v>1.4645989512269484E-2</v>
      </c>
      <c r="AR4" s="21">
        <f>Make!AR4/Make!$BP4</f>
        <v>7.4953717156639402E-3</v>
      </c>
      <c r="AS4" s="21">
        <f>Make!AS4/Make!$BP4</f>
        <v>5.6967431420212704E-3</v>
      </c>
      <c r="AT4" s="21">
        <f>Make!AT4/Make!$BP4</f>
        <v>2.8435558945080599E-3</v>
      </c>
      <c r="AU4" s="21">
        <f>Make!AU4/Make!$BP4</f>
        <v>1.0873257029410862E-4</v>
      </c>
      <c r="AV4" s="21">
        <f>Make!AV4/Make!$BP4</f>
        <v>4.291804102484816E-4</v>
      </c>
      <c r="AW4" s="21">
        <f>Make!AW4/Make!$BP4</f>
        <v>8.2192255629506723E-3</v>
      </c>
      <c r="AX4" s="21">
        <f>Make!AX4/Make!$BP4</f>
        <v>2.6310064466820824E-3</v>
      </c>
      <c r="AY4" s="21">
        <f>Make!AY4/Make!$BP4</f>
        <v>1.1977653592671727E-2</v>
      </c>
      <c r="AZ4" s="21">
        <f>Make!AZ4/Make!$BP4</f>
        <v>1.0323380401807965E-3</v>
      </c>
      <c r="BA4" s="21">
        <f>Make!BA4/Make!$BP4</f>
        <v>2.1726259702236881E-2</v>
      </c>
      <c r="BB4" s="21">
        <f>Make!BB4/Make!$BP4</f>
        <v>2.1294908726353125E-3</v>
      </c>
      <c r="BC4" s="21">
        <f>Make!BC4/Make!$BP4</f>
        <v>5.0760847946531721E-3</v>
      </c>
      <c r="BD4" s="21">
        <f>Make!BD4/Make!$BP4</f>
        <v>3.4909207112121341E-3</v>
      </c>
      <c r="BE4" s="21">
        <f>Make!BE4/Make!$BP4</f>
        <v>3.7607177636657173E-3</v>
      </c>
      <c r="BF4" s="21">
        <f>Make!BF4/Make!$BP4</f>
        <v>5.1577108305726456E-3</v>
      </c>
      <c r="BG4" s="21">
        <f>Make!BG4/Make!$BP4</f>
        <v>2.9062724733343474E-2</v>
      </c>
      <c r="BH4" s="21">
        <f>Make!BH4/Make!$BP4</f>
        <v>1.5395992291444699E-3</v>
      </c>
      <c r="BI4" s="21">
        <f>Make!BI4/Make!$BP4</f>
        <v>2.9894813197631515E-2</v>
      </c>
      <c r="BJ4" s="21">
        <f>Make!BJ4/Make!$BP4</f>
        <v>8.9028005216643859E-3</v>
      </c>
      <c r="BK4" s="21">
        <f>Make!BK4/Make!$BP4</f>
        <v>3.9001429832448184E-2</v>
      </c>
      <c r="BL4" s="21">
        <f>Make!BL4/Make!$BP4</f>
        <v>8.3516526235609845E-2</v>
      </c>
      <c r="BM4" s="21">
        <f>Make!BM4/Make!$BP4</f>
        <v>2.8577496913583362E-3</v>
      </c>
      <c r="BN4" s="21">
        <f>Make!BN4/Make!$BP4</f>
        <v>1.3467861813586076E-2</v>
      </c>
      <c r="BO4" s="21">
        <f>Make!BO4/Make!$BP4</f>
        <v>1.4135149018013131E-3</v>
      </c>
      <c r="BP4" s="19">
        <f t="array" ref="BP4">SUM(B4:BO4)</f>
        <v>1.0000000000000004</v>
      </c>
    </row>
    <row r="5" spans="1:68" x14ac:dyDescent="0.3">
      <c r="A5" t="s">
        <v>329</v>
      </c>
      <c r="B5" s="21">
        <f>Make!B5/Make!$BP5</f>
        <v>1.3337432800516821E-4</v>
      </c>
      <c r="C5" s="21">
        <f>Make!C5/Make!$BP5</f>
        <v>4.1052700405208456E-3</v>
      </c>
      <c r="D5" s="21">
        <f>Make!D5/Make!$BP5</f>
        <v>3.0156579816173694E-6</v>
      </c>
      <c r="E5" s="21">
        <f>Make!E5/Make!$BP5</f>
        <v>2.056130442011843E-6</v>
      </c>
      <c r="F5" s="21">
        <f>Make!F5/Make!$BP5</f>
        <v>2.056130442011843E-6</v>
      </c>
      <c r="G5" s="21">
        <f>Make!G5/Make!$BP5</f>
        <v>1.264246071111682E-3</v>
      </c>
      <c r="H5" s="21">
        <f>Make!H5/Make!$BP5</f>
        <v>1.690139223333735E-4</v>
      </c>
      <c r="I5" s="21">
        <f>Make!I5/Make!$BP5</f>
        <v>0.69218616972643976</v>
      </c>
      <c r="J5" s="21">
        <f>Make!J5/Make!$BP5</f>
        <v>2.7415072560157908E-6</v>
      </c>
      <c r="K5" s="21">
        <f>Make!K5/Make!$BP5</f>
        <v>1.5338733097408348E-4</v>
      </c>
      <c r="L5" s="21">
        <f>Make!L5/Make!$BP5</f>
        <v>1.6078940056532613E-4</v>
      </c>
      <c r="M5" s="21">
        <f>Make!M5/Make!$BP5</f>
        <v>5.8257029190335546E-4</v>
      </c>
      <c r="N5" s="21">
        <f>Make!N5/Make!$BP5</f>
        <v>8.4438423485286355E-5</v>
      </c>
      <c r="O5" s="21">
        <f>Make!O5/Make!$BP5</f>
        <v>2.0424229057317638E-5</v>
      </c>
      <c r="P5" s="21">
        <f>Make!P5/Make!$BP5</f>
        <v>3.1527333444181591E-6</v>
      </c>
      <c r="Q5" s="21">
        <f>Make!Q5/Make!$BP5</f>
        <v>3.7394158972055389E-4</v>
      </c>
      <c r="R5" s="21">
        <f>Make!R5/Make!$BP5</f>
        <v>1.0376604964019768E-4</v>
      </c>
      <c r="S5" s="21">
        <f>Make!S5/Make!$BP5</f>
        <v>9.3718425546899804E-4</v>
      </c>
      <c r="T5" s="21">
        <f>Make!T5/Make!$BP5</f>
        <v>5.5566239818556048E-3</v>
      </c>
      <c r="U5" s="21">
        <f>Make!U5/Make!$BP5</f>
        <v>1.7997995135743666E-4</v>
      </c>
      <c r="V5" s="21">
        <f>Make!V5/Make!$BP5</f>
        <v>9.2114643802130577E-5</v>
      </c>
      <c r="W5" s="21">
        <f>Make!W5/Make!$BP5</f>
        <v>1.3409123215261633E-2</v>
      </c>
      <c r="X5" s="21">
        <f>Make!X5/Make!$BP5</f>
        <v>6.853768140039477E-7</v>
      </c>
      <c r="Y5" s="21">
        <f>Make!Y5/Make!$BP5</f>
        <v>3.2898087072189489E-6</v>
      </c>
      <c r="Z5" s="21">
        <f>Make!Z5/Make!$BP5</f>
        <v>1.3392262945637138E-4</v>
      </c>
      <c r="AA5" s="21">
        <f>Make!AA5/Make!$BP5</f>
        <v>7.2526574457897747E-4</v>
      </c>
      <c r="AB5" s="21">
        <f>Make!AB5/Make!$BP5</f>
        <v>3.2588296752259706E-3</v>
      </c>
      <c r="AC5" s="21">
        <f>Make!AC5/Make!$BP5</f>
        <v>1.3379103710808261E-2</v>
      </c>
      <c r="AD5" s="21">
        <f>Make!AD5/Make!$BP5</f>
        <v>8.9098985820513194E-6</v>
      </c>
      <c r="AE5" s="21">
        <f>Make!AE5/Make!$BP5</f>
        <v>5.3459391492307914E-6</v>
      </c>
      <c r="AF5" s="21">
        <f>Make!AF5/Make!$BP5</f>
        <v>6.0313159632347388E-6</v>
      </c>
      <c r="AG5" s="21">
        <f>Make!AG5/Make!$BP5</f>
        <v>1.7390751278536167E-3</v>
      </c>
      <c r="AH5" s="21">
        <f>Make!AH5/Make!$BP5</f>
        <v>7.4527874754789277E-4</v>
      </c>
      <c r="AI5" s="21">
        <f>Make!AI5/Make!$BP5</f>
        <v>2.239948503527702E-3</v>
      </c>
      <c r="AJ5" s="21">
        <f>Make!AJ5/Make!$BP5</f>
        <v>1.0006501484457636E-5</v>
      </c>
      <c r="AK5" s="21">
        <f>Make!AK5/Make!$BP5</f>
        <v>2.0150078331716061E-4</v>
      </c>
      <c r="AL5" s="21">
        <f>Make!AL5/Make!$BP5</f>
        <v>4.03824018811126E-4</v>
      </c>
      <c r="AM5" s="21">
        <f>Make!AM5/Make!$BP5</f>
        <v>4.6605623352268441E-6</v>
      </c>
      <c r="AN5" s="21">
        <f>Make!AN5/Make!$BP5</f>
        <v>1.5626591359290006E-5</v>
      </c>
      <c r="AO5" s="21">
        <f>Make!AO5/Make!$BP5</f>
        <v>2.7552147922958699E-5</v>
      </c>
      <c r="AP5" s="21">
        <f>Make!AP5/Make!$BP5</f>
        <v>1.5353811387316435E-3</v>
      </c>
      <c r="AQ5" s="21">
        <f>Make!AQ5/Make!$BP5</f>
        <v>1.6037817447692377E-5</v>
      </c>
      <c r="AR5" s="21">
        <f>Make!AR5/Make!$BP5</f>
        <v>9.4842443521866266E-4</v>
      </c>
      <c r="AS5" s="21">
        <f>Make!AS5/Make!$BP5</f>
        <v>1.9485262822132232E-3</v>
      </c>
      <c r="AT5" s="21">
        <f>Make!AT5/Make!$BP5</f>
        <v>5.9600367745783289E-4</v>
      </c>
      <c r="AU5" s="21">
        <f>Make!AU5/Make!$BP5</f>
        <v>1.3707536280078954E-6</v>
      </c>
      <c r="AV5" s="21">
        <f>Make!AV5/Make!$BP5</f>
        <v>9.3759548155740045E-5</v>
      </c>
      <c r="AW5" s="21">
        <f>Make!AW5/Make!$BP5</f>
        <v>6.3054666888363183E-6</v>
      </c>
      <c r="AX5" s="21">
        <f>Make!AX5/Make!$BP5</f>
        <v>5.071788423629212E-6</v>
      </c>
      <c r="AY5" s="21">
        <f>Make!AY5/Make!$BP5</f>
        <v>2.5050522551844288E-2</v>
      </c>
      <c r="AZ5" s="21">
        <f>Make!AZ5/Make!$BP5</f>
        <v>6.168391326035529E-6</v>
      </c>
      <c r="BA5" s="21">
        <f>Make!BA5/Make!$BP5</f>
        <v>4.6114482327353205E-2</v>
      </c>
      <c r="BB5" s="21">
        <f>Make!BB5/Make!$BP5</f>
        <v>3.9751855212228967E-6</v>
      </c>
      <c r="BC5" s="21">
        <f>Make!BC5/Make!$BP5</f>
        <v>3.8654429857645847E-2</v>
      </c>
      <c r="BD5" s="21">
        <f>Make!BD5/Make!$BP5</f>
        <v>4.4028606531613598E-4</v>
      </c>
      <c r="BE5" s="21">
        <f>Make!BE5/Make!$BP5</f>
        <v>2.1301511379242694E-4</v>
      </c>
      <c r="BF5" s="21">
        <f>Make!BF5/Make!$BP5</f>
        <v>2.9943427627018467E-2</v>
      </c>
      <c r="BG5" s="21">
        <f>Make!BG5/Make!$BP5</f>
        <v>3.5107741920538211E-3</v>
      </c>
      <c r="BH5" s="21">
        <f>Make!BH5/Make!$BP5</f>
        <v>7.5391449540434246E-6</v>
      </c>
      <c r="BI5" s="21">
        <f>Make!BI5/Make!$BP5</f>
        <v>2.2987538341692404E-4</v>
      </c>
      <c r="BJ5" s="21">
        <f>Make!BJ5/Make!$BP5</f>
        <v>6.6947607191905612E-4</v>
      </c>
      <c r="BK5" s="21">
        <f>Make!BK5/Make!$BP5</f>
        <v>5.1369129284958674E-2</v>
      </c>
      <c r="BL5" s="21">
        <f>Make!BL5/Make!$BP5</f>
        <v>2.1319194101043996E-2</v>
      </c>
      <c r="BM5" s="21">
        <f>Make!BM5/Make!$BP5</f>
        <v>6.7441078497988444E-4</v>
      </c>
      <c r="BN5" s="21">
        <f>Make!BN5/Make!$BP5</f>
        <v>3.3998939310842628E-2</v>
      </c>
      <c r="BO5" s="21">
        <f>Make!BO5/Make!$BP5</f>
        <v>2.0917700363400483E-4</v>
      </c>
      <c r="BP5" s="19">
        <f t="array" ref="BP5">SUM(B5:BO5)</f>
        <v>0.99999999999999933</v>
      </c>
    </row>
    <row r="6" spans="1:68" x14ac:dyDescent="0.3">
      <c r="A6" t="s">
        <v>330</v>
      </c>
      <c r="B6" s="21">
        <f>Make!B6/Make!$BP6</f>
        <v>3.2634371769225947E-3</v>
      </c>
      <c r="C6" s="21">
        <f>Make!C6/Make!$BP6</f>
        <v>4.7078043671012901E-4</v>
      </c>
      <c r="D6" s="21">
        <f>Make!D6/Make!$BP6</f>
        <v>3.3333058825790058E-6</v>
      </c>
      <c r="E6" s="21">
        <f>Make!E6/Make!$BP6</f>
        <v>2.2222039217193375E-6</v>
      </c>
      <c r="F6" s="21">
        <f>Make!F6/Make!$BP6</f>
        <v>2.1568449828452391E-6</v>
      </c>
      <c r="G6" s="21">
        <f>Make!G6/Make!$BP6</f>
        <v>1.6562739417962963E-2</v>
      </c>
      <c r="H6" s="21">
        <f>Make!H6/Make!$BP6</f>
        <v>9.6159992407905646E-3</v>
      </c>
      <c r="I6" s="21">
        <f>Make!I6/Make!$BP6</f>
        <v>0.60525194367680368</v>
      </c>
      <c r="J6" s="21">
        <f>Make!J6/Make!$BP6</f>
        <v>3.0065111882085148E-6</v>
      </c>
      <c r="K6" s="21">
        <f>Make!K6/Make!$BP6</f>
        <v>2.8574928075755714E-4</v>
      </c>
      <c r="L6" s="21">
        <f>Make!L6/Make!$BP6</f>
        <v>8.7417580744106283E-4</v>
      </c>
      <c r="M6" s="21">
        <f>Make!M6/Make!$BP6</f>
        <v>4.3790489045645765E-6</v>
      </c>
      <c r="N6" s="21">
        <f>Make!N6/Make!$BP6</f>
        <v>1.8831871057793899E-3</v>
      </c>
      <c r="O6" s="21">
        <f>Make!O6/Make!$BP6</f>
        <v>2.1201786181368698E-2</v>
      </c>
      <c r="P6" s="21">
        <f>Make!P6/Make!$BP6</f>
        <v>3.3986648214531037E-6</v>
      </c>
      <c r="Q6" s="21">
        <f>Make!Q6/Make!$BP6</f>
        <v>2.3790653750171728E-5</v>
      </c>
      <c r="R6" s="21">
        <f>Make!R6/Make!$BP6</f>
        <v>4.7572810838289823E-3</v>
      </c>
      <c r="S6" s="21">
        <f>Make!S6/Make!$BP6</f>
        <v>2.7450754327121226E-6</v>
      </c>
      <c r="T6" s="21">
        <f>Make!T6/Make!$BP6</f>
        <v>1.1077425114015398E-2</v>
      </c>
      <c r="U6" s="21">
        <f>Make!U6/Make!$BP6</f>
        <v>9.54240507561833E-6</v>
      </c>
      <c r="V6" s="21">
        <f>Make!V6/Make!$BP6</f>
        <v>6.3350327964619368E-2</v>
      </c>
      <c r="W6" s="21">
        <f>Make!W6/Make!$BP6</f>
        <v>4.2038869483819935E-4</v>
      </c>
      <c r="X6" s="21">
        <f>Make!X6/Make!$BP6</f>
        <v>7.1894832761507963E-7</v>
      </c>
      <c r="Y6" s="21">
        <f>Make!Y6/Make!$BP6</f>
        <v>3.5293826992013E-6</v>
      </c>
      <c r="Z6" s="21">
        <f>Make!Z6/Make!$BP6</f>
        <v>8.8435219422375987E-3</v>
      </c>
      <c r="AA6" s="21">
        <f>Make!AA6/Make!$BP6</f>
        <v>3.2614110498174978E-5</v>
      </c>
      <c r="AB6" s="21">
        <f>Make!AB6/Make!$BP6</f>
        <v>2.3535753888562745E-4</v>
      </c>
      <c r="AC6" s="21">
        <f>Make!AC6/Make!$BP6</f>
        <v>8.5770535484479E-4</v>
      </c>
      <c r="AD6" s="21">
        <f>Make!AD6/Make!$BP6</f>
        <v>4.3404871306288581E-3</v>
      </c>
      <c r="AE6" s="21">
        <f>Make!AE6/Make!$BP6</f>
        <v>5.8169455597947354E-6</v>
      </c>
      <c r="AF6" s="21">
        <f>Make!AF6/Make!$BP6</f>
        <v>6.601252826283914E-6</v>
      </c>
      <c r="AG6" s="21">
        <f>Make!AG6/Make!$BP6</f>
        <v>1.5199155876232651E-2</v>
      </c>
      <c r="AH6" s="21">
        <f>Make!AH6/Make!$BP6</f>
        <v>2.8747475674383333E-3</v>
      </c>
      <c r="AI6" s="21">
        <f>Make!AI6/Make!$BP6</f>
        <v>1.6816854972305455E-4</v>
      </c>
      <c r="AJ6" s="21">
        <f>Make!AJ6/Make!$BP6</f>
        <v>1.5686145329783558E-6</v>
      </c>
      <c r="AK6" s="21">
        <f>Make!AK6/Make!$BP6</f>
        <v>2.869257416572909E-5</v>
      </c>
      <c r="AL6" s="21">
        <f>Make!AL6/Make!$BP6</f>
        <v>1.0849583853100294E-5</v>
      </c>
      <c r="AM6" s="21">
        <f>Make!AM6/Make!$BP6</f>
        <v>5.0326382933055576E-6</v>
      </c>
      <c r="AN6" s="21">
        <f>Make!AN6/Make!$BP6</f>
        <v>2.3535753888562745E-4</v>
      </c>
      <c r="AO6" s="21">
        <f>Make!AO6/Make!$BP6</f>
        <v>3.1572027576766359E-2</v>
      </c>
      <c r="AP6" s="21">
        <f>Make!AP6/Make!$BP6</f>
        <v>9.0848925034996432E-6</v>
      </c>
      <c r="AQ6" s="21">
        <f>Make!AQ6/Make!$BP6</f>
        <v>2.5650050202200948E-2</v>
      </c>
      <c r="AR6" s="21">
        <f>Make!AR6/Make!$BP6</f>
        <v>2.7372715754105551E-2</v>
      </c>
      <c r="AS6" s="21">
        <f>Make!AS6/Make!$BP6</f>
        <v>1.8169785006999286E-5</v>
      </c>
      <c r="AT6" s="21">
        <f>Make!AT6/Make!$BP6</f>
        <v>1.1771144891225077E-4</v>
      </c>
      <c r="AU6" s="21">
        <f>Make!AU6/Make!$BP6</f>
        <v>1.5032555941042574E-6</v>
      </c>
      <c r="AV6" s="21">
        <f>Make!AV6/Make!$BP6</f>
        <v>1.9607681662229444E-6</v>
      </c>
      <c r="AW6" s="21">
        <f>Make!AW6/Make!$BP6</f>
        <v>6.8626885817803057E-6</v>
      </c>
      <c r="AX6" s="21">
        <f>Make!AX6/Make!$BP6</f>
        <v>1.8156713219224469E-3</v>
      </c>
      <c r="AY6" s="21">
        <f>Make!AY6/Make!$BP6</f>
        <v>3.0812033835538342E-2</v>
      </c>
      <c r="AZ6" s="21">
        <f>Make!AZ6/Make!$BP6</f>
        <v>1.4626676930634425E-3</v>
      </c>
      <c r="BA6" s="21">
        <f>Make!BA6/Make!$BP6</f>
        <v>3.6521921453457305E-2</v>
      </c>
      <c r="BB6" s="21">
        <f>Make!BB6/Make!$BP6</f>
        <v>4.3790489045645765E-6</v>
      </c>
      <c r="BC6" s="21">
        <f>Make!BC6/Make!$BP6</f>
        <v>8.1045084203881712E-6</v>
      </c>
      <c r="BD6" s="21">
        <f>Make!BD6/Make!$BP6</f>
        <v>1.0522789158729802E-5</v>
      </c>
      <c r="BE6" s="21">
        <f>Make!BE6/Make!$BP6</f>
        <v>2.404816796933567E-3</v>
      </c>
      <c r="BF6" s="21">
        <f>Make!BF6/Make!$BP6</f>
        <v>3.6151989859429913E-3</v>
      </c>
      <c r="BG6" s="21">
        <f>Make!BG6/Make!$BP6</f>
        <v>1.6304440891532527E-3</v>
      </c>
      <c r="BH6" s="21">
        <f>Make!BH6/Make!$BP6</f>
        <v>8.1045084203881712E-6</v>
      </c>
      <c r="BI6" s="21">
        <f>Make!BI6/Make!$BP6</f>
        <v>1.0326712342107509E-5</v>
      </c>
      <c r="BJ6" s="21">
        <f>Make!BJ6/Make!$BP6</f>
        <v>1.3921453980182907E-5</v>
      </c>
      <c r="BK6" s="21">
        <f>Make!BK6/Make!$BP6</f>
        <v>5.0957096693190623E-3</v>
      </c>
      <c r="BL6" s="21">
        <f>Make!BL6/Make!$BP6</f>
        <v>5.9151277577714059E-2</v>
      </c>
      <c r="BM6" s="21">
        <f>Make!BM6/Make!$BP6</f>
        <v>6.8973288193835782E-4</v>
      </c>
      <c r="BN6" s="21">
        <f>Make!BN6/Make!$BP6</f>
        <v>6.725434810144699E-5</v>
      </c>
      <c r="BO6" s="21">
        <f>Make!BO6/Make!$BP6</f>
        <v>8.1045084203881712E-6</v>
      </c>
      <c r="BP6" s="19">
        <f t="array" ref="BP6">SUM(B6:BO6)</f>
        <v>0.99999999999999989</v>
      </c>
    </row>
    <row r="7" spans="1:68" x14ac:dyDescent="0.3">
      <c r="A7" t="s">
        <v>325</v>
      </c>
      <c r="B7" s="21">
        <f>Make!B7/Make!$BP7</f>
        <v>2.639813875794087E-3</v>
      </c>
      <c r="C7" s="21">
        <f>Make!C7/Make!$BP7</f>
        <v>1.0172586722881504E-2</v>
      </c>
      <c r="D7" s="21">
        <f>Make!D7/Make!$BP7</f>
        <v>2.5977824200185008E-3</v>
      </c>
      <c r="E7" s="21">
        <f>Make!E7/Make!$BP7</f>
        <v>1.3164437464478571E-3</v>
      </c>
      <c r="F7" s="21">
        <f>Make!F7/Make!$BP7</f>
        <v>1.681679857307424E-3</v>
      </c>
      <c r="G7" s="21">
        <f>Make!G7/Make!$BP7</f>
        <v>1.6366307285227154E-2</v>
      </c>
      <c r="H7" s="21">
        <f>Make!H7/Make!$BP7</f>
        <v>7.0528965496156832E-3</v>
      </c>
      <c r="I7" s="21">
        <f>Make!I7/Make!$BP7</f>
        <v>0.33740639627123453</v>
      </c>
      <c r="J7" s="21">
        <f>Make!J7/Make!$BP7</f>
        <v>1.3063809324703759E-3</v>
      </c>
      <c r="K7" s="21">
        <f>Make!K7/Make!$BP7</f>
        <v>7.0172808404612144E-3</v>
      </c>
      <c r="L7" s="21">
        <f>Make!L7/Make!$BP7</f>
        <v>3.0475991058112289E-3</v>
      </c>
      <c r="M7" s="21">
        <f>Make!M7/Make!$BP7</f>
        <v>2.7383502807267436E-3</v>
      </c>
      <c r="N7" s="21">
        <f>Make!N7/Make!$BP7</f>
        <v>5.5630917870394866E-3</v>
      </c>
      <c r="O7" s="21">
        <f>Make!O7/Make!$BP7</f>
        <v>8.0407528787541753E-3</v>
      </c>
      <c r="P7" s="21">
        <f>Make!P7/Make!$BP7</f>
        <v>2.3529510640203062E-3</v>
      </c>
      <c r="Q7" s="21">
        <f>Make!Q7/Make!$BP7</f>
        <v>1.524102655356426E-2</v>
      </c>
      <c r="R7" s="21">
        <f>Make!R7/Make!$BP7</f>
        <v>4.406584944311928E-3</v>
      </c>
      <c r="S7" s="21">
        <f>Make!S7/Make!$BP7</f>
        <v>2.1183277488307389E-3</v>
      </c>
      <c r="T7" s="21">
        <f>Make!T7/Make!$BP7</f>
        <v>2.3860627815216265E-2</v>
      </c>
      <c r="U7" s="21">
        <f>Make!U7/Make!$BP7</f>
        <v>6.430374710803018E-3</v>
      </c>
      <c r="V7" s="21">
        <f>Make!V7/Make!$BP7</f>
        <v>1.0024122738821752E-2</v>
      </c>
      <c r="W7" s="21">
        <f>Make!W7/Make!$BP7</f>
        <v>1.538279370681358E-2</v>
      </c>
      <c r="X7" s="21">
        <f>Make!X7/Make!$BP7</f>
        <v>2.5536967072926702E-4</v>
      </c>
      <c r="Y7" s="21">
        <f>Make!Y7/Make!$BP7</f>
        <v>2.6279263569543025E-3</v>
      </c>
      <c r="Z7" s="21">
        <f>Make!Z7/Make!$BP7</f>
        <v>2.8482907396935632E-2</v>
      </c>
      <c r="AA7" s="21">
        <f>Make!AA7/Make!$BP7</f>
        <v>2.1540376211886283E-2</v>
      </c>
      <c r="AB7" s="21">
        <f>Make!AB7/Make!$BP7</f>
        <v>3.2107801895498722E-3</v>
      </c>
      <c r="AC7" s="21">
        <f>Make!AC7/Make!$BP7</f>
        <v>7.5459861463534721E-3</v>
      </c>
      <c r="AD7" s="21">
        <f>Make!AD7/Make!$BP7</f>
        <v>6.9779641894807632E-3</v>
      </c>
      <c r="AE7" s="21">
        <f>Make!AE7/Make!$BP7</f>
        <v>4.3717703250970071E-3</v>
      </c>
      <c r="AF7" s="21">
        <f>Make!AF7/Make!$BP7</f>
        <v>4.9426640254372194E-3</v>
      </c>
      <c r="AG7" s="21">
        <f>Make!AG7/Make!$BP7</f>
        <v>3.8567015844125474E-2</v>
      </c>
      <c r="AH7" s="21">
        <f>Make!AH7/Make!$BP7</f>
        <v>6.6810479332024787E-3</v>
      </c>
      <c r="AI7" s="21">
        <f>Make!AI7/Make!$BP7</f>
        <v>8.3720668126998962E-3</v>
      </c>
      <c r="AJ7" s="21">
        <f>Make!AJ7/Make!$BP7</f>
        <v>1.1582027173364267E-3</v>
      </c>
      <c r="AK7" s="21">
        <f>Make!AK7/Make!$BP7</f>
        <v>1.9976491711216088E-2</v>
      </c>
      <c r="AL7" s="21">
        <f>Make!AL7/Make!$BP7</f>
        <v>8.5371920620813026E-3</v>
      </c>
      <c r="AM7" s="21">
        <f>Make!AM7/Make!$BP7</f>
        <v>3.5566144642419635E-3</v>
      </c>
      <c r="AN7" s="21">
        <f>Make!AN7/Make!$BP7</f>
        <v>3.7439664458934624E-3</v>
      </c>
      <c r="AO7" s="21">
        <f>Make!AO7/Make!$BP7</f>
        <v>1.6907717596476454E-2</v>
      </c>
      <c r="AP7" s="21">
        <f>Make!AP7/Make!$BP7</f>
        <v>6.6308064767306467E-3</v>
      </c>
      <c r="AQ7" s="21">
        <f>Make!AQ7/Make!$BP7</f>
        <v>9.717661331947975E-3</v>
      </c>
      <c r="AR7" s="21">
        <f>Make!AR7/Make!$BP7</f>
        <v>8.9551314584374528E-3</v>
      </c>
      <c r="AS7" s="21">
        <f>Make!AS7/Make!$BP7</f>
        <v>1.254584143484334E-2</v>
      </c>
      <c r="AT7" s="21">
        <f>Make!AT7/Make!$BP7</f>
        <v>9.5813308153936579E-3</v>
      </c>
      <c r="AU7" s="21">
        <f>Make!AU7/Make!$BP7</f>
        <v>9.7800667067124186E-4</v>
      </c>
      <c r="AV7" s="21">
        <f>Make!AV7/Make!$BP7</f>
        <v>1.6563073244852463E-3</v>
      </c>
      <c r="AW7" s="21">
        <f>Make!AW7/Make!$BP7</f>
        <v>4.1705187302838766E-3</v>
      </c>
      <c r="AX7" s="21">
        <f>Make!AX7/Make!$BP7</f>
        <v>3.5523771200880383E-3</v>
      </c>
      <c r="AY7" s="21">
        <f>Make!AY7/Make!$BP7</f>
        <v>1.8455310926007593E-2</v>
      </c>
      <c r="AZ7" s="21">
        <f>Make!AZ7/Make!$BP7</f>
        <v>4.6431945877726559E-3</v>
      </c>
      <c r="BA7" s="21">
        <f>Make!BA7/Make!$BP7</f>
        <v>3.2617833841747483E-2</v>
      </c>
      <c r="BB7" s="21">
        <f>Make!BB7/Make!$BP7</f>
        <v>3.1836743042269189E-3</v>
      </c>
      <c r="BC7" s="21">
        <f>Make!BC7/Make!$BP7</f>
        <v>5.6958736157037004E-3</v>
      </c>
      <c r="BD7" s="21">
        <f>Make!BD7/Make!$BP7</f>
        <v>7.5886640957644825E-3</v>
      </c>
      <c r="BE7" s="21">
        <f>Make!BE7/Make!$BP7</f>
        <v>6.9553579935550947E-3</v>
      </c>
      <c r="BF7" s="21">
        <f>Make!BF7/Make!$BP7</f>
        <v>1.2629337493279394E-2</v>
      </c>
      <c r="BG7" s="21">
        <f>Make!BG7/Make!$BP7</f>
        <v>2.0321782556475505E-2</v>
      </c>
      <c r="BH7" s="21">
        <f>Make!BH7/Make!$BP7</f>
        <v>6.4034843233585388E-3</v>
      </c>
      <c r="BI7" s="21">
        <f>Make!BI7/Make!$BP7</f>
        <v>4.5212954019714247E-3</v>
      </c>
      <c r="BJ7" s="21">
        <f>Make!BJ7/Make!$BP7</f>
        <v>9.6033022295251222E-3</v>
      </c>
      <c r="BK7" s="21">
        <f>Make!BK7/Make!$BP7</f>
        <v>2.9282385787131625E-2</v>
      </c>
      <c r="BL7" s="21">
        <f>Make!BL7/Make!$BP7</f>
        <v>7.2916344688631757E-2</v>
      </c>
      <c r="BM7" s="21">
        <f>Make!BM7/Make!$BP7</f>
        <v>6.7651342684360936E-3</v>
      </c>
      <c r="BN7" s="21">
        <f>Make!BN7/Make!$BP7</f>
        <v>2.0512352952094661E-2</v>
      </c>
      <c r="BO7" s="21">
        <f>Make!BO7/Make!$BP7</f>
        <v>5.896457635567209E-3</v>
      </c>
      <c r="BP7" s="19">
        <f t="array" ref="BP7">SUM(B7:BO7)</f>
        <v>0.99999999999999989</v>
      </c>
    </row>
    <row r="8" spans="1:68" x14ac:dyDescent="0.3">
      <c r="A8" t="s">
        <v>326</v>
      </c>
      <c r="B8" s="21">
        <f>Make!B8/Make!$BP8</f>
        <v>2.9839739177862454E-3</v>
      </c>
      <c r="C8" s="21">
        <f>Make!C8/Make!$BP8</f>
        <v>9.9474712842898255E-3</v>
      </c>
      <c r="D8" s="21">
        <f>Make!D8/Make!$BP8</f>
        <v>2.3666310385589391E-3</v>
      </c>
      <c r="E8" s="21">
        <f>Make!E8/Make!$BP8</f>
        <v>1.6164924466607377E-3</v>
      </c>
      <c r="F8" s="21">
        <f>Make!F8/Make!$BP8</f>
        <v>1.8929346862490233E-3</v>
      </c>
      <c r="G8" s="21">
        <f>Make!G8/Make!$BP8</f>
        <v>1.3995065845745107E-2</v>
      </c>
      <c r="H8" s="21">
        <f>Make!H8/Make!$BP8</f>
        <v>7.5415440726419427E-3</v>
      </c>
      <c r="I8" s="21">
        <f>Make!I8/Make!$BP8</f>
        <v>0.36775630348961807</v>
      </c>
      <c r="J8" s="21">
        <f>Make!J8/Make!$BP8</f>
        <v>1.3271204985077026E-3</v>
      </c>
      <c r="K8" s="21">
        <f>Make!K8/Make!$BP8</f>
        <v>7.6199335998619515E-3</v>
      </c>
      <c r="L8" s="21">
        <f>Make!L8/Make!$BP8</f>
        <v>3.4291742065142438E-3</v>
      </c>
      <c r="M8" s="21">
        <f>Make!M8/Make!$BP8</f>
        <v>2.9311015507043152E-3</v>
      </c>
      <c r="N8" s="21">
        <f>Make!N8/Make!$BP8</f>
        <v>5.584670709921748E-3</v>
      </c>
      <c r="O8" s="21">
        <f>Make!O8/Make!$BP8</f>
        <v>8.2387595927187456E-3</v>
      </c>
      <c r="P8" s="21">
        <f>Make!P8/Make!$BP8</f>
        <v>1.8790542638192191E-3</v>
      </c>
      <c r="Q8" s="21">
        <f>Make!Q8/Make!$BP8</f>
        <v>1.2270749770602251E-2</v>
      </c>
      <c r="R8" s="21">
        <f>Make!R8/Make!$BP8</f>
        <v>4.2829786382580521E-3</v>
      </c>
      <c r="S8" s="21">
        <f>Make!S8/Make!$BP8</f>
        <v>2.0629857062452106E-3</v>
      </c>
      <c r="T8" s="21">
        <f>Make!T8/Make!$BP8</f>
        <v>2.3305863068884838E-2</v>
      </c>
      <c r="U8" s="21">
        <f>Make!U8/Make!$BP8</f>
        <v>6.3456981446210472E-3</v>
      </c>
      <c r="V8" s="21">
        <f>Make!V8/Make!$BP8</f>
        <v>8.1630827690603591E-3</v>
      </c>
      <c r="W8" s="21">
        <f>Make!W8/Make!$BP8</f>
        <v>1.5466580766077374E-2</v>
      </c>
      <c r="X8" s="21">
        <f>Make!X8/Make!$BP8</f>
        <v>3.4174994402513673E-4</v>
      </c>
      <c r="Y8" s="21">
        <f>Make!Y8/Make!$BP8</f>
        <v>2.7067837832907829E-3</v>
      </c>
      <c r="Z8" s="21">
        <f>Make!Z8/Make!$BP8</f>
        <v>2.5543273078905488E-2</v>
      </c>
      <c r="AA8" s="21">
        <f>Make!AA8/Make!$BP8</f>
        <v>1.7304576867111079E-2</v>
      </c>
      <c r="AB8" s="21">
        <f>Make!AB8/Make!$BP8</f>
        <v>2.4566699796720898E-3</v>
      </c>
      <c r="AC8" s="21">
        <f>Make!AC8/Make!$BP8</f>
        <v>7.189108104773587E-3</v>
      </c>
      <c r="AD8" s="21">
        <f>Make!AD8/Make!$BP8</f>
        <v>7.414503347900849E-3</v>
      </c>
      <c r="AE8" s="21">
        <f>Make!AE8/Make!$BP8</f>
        <v>4.442850681805716E-3</v>
      </c>
      <c r="AF8" s="21">
        <f>Make!AF8/Make!$BP8</f>
        <v>3.4574547749534157E-3</v>
      </c>
      <c r="AG8" s="21">
        <f>Make!AG8/Make!$BP8</f>
        <v>3.8893856333622183E-2</v>
      </c>
      <c r="AH8" s="21">
        <f>Make!AH8/Make!$BP8</f>
        <v>6.3065667619353798E-3</v>
      </c>
      <c r="AI8" s="21">
        <f>Make!AI8/Make!$BP8</f>
        <v>8.7776368876168378E-3</v>
      </c>
      <c r="AJ8" s="21">
        <f>Make!AJ8/Make!$BP8</f>
        <v>1.209320712534943E-3</v>
      </c>
      <c r="AK8" s="21">
        <f>Make!AK8/Make!$BP8</f>
        <v>2.0985043762436685E-2</v>
      </c>
      <c r="AL8" s="21">
        <f>Make!AL8/Make!$BP8</f>
        <v>8.8169710892603836E-3</v>
      </c>
      <c r="AM8" s="21">
        <f>Make!AM8/Make!$BP8</f>
        <v>2.5375820676807118E-3</v>
      </c>
      <c r="AN8" s="21">
        <f>Make!AN8/Make!$BP8</f>
        <v>3.9412793989723853E-3</v>
      </c>
      <c r="AO8" s="21">
        <f>Make!AO8/Make!$BP8</f>
        <v>1.2994230345724309E-2</v>
      </c>
      <c r="AP8" s="21">
        <f>Make!AP8/Make!$BP8</f>
        <v>5.8356845226660266E-3</v>
      </c>
      <c r="AQ8" s="21">
        <f>Make!AQ8/Make!$BP8</f>
        <v>8.9200157960474882E-3</v>
      </c>
      <c r="AR8" s="21">
        <f>Make!AR8/Make!$BP8</f>
        <v>8.8432995252299747E-3</v>
      </c>
      <c r="AS8" s="21">
        <f>Make!AS8/Make!$BP8</f>
        <v>1.294369039665798E-2</v>
      </c>
      <c r="AT8" s="21">
        <f>Make!AT8/Make!$BP8</f>
        <v>9.8032796814231365E-3</v>
      </c>
      <c r="AU8" s="21">
        <f>Make!AU8/Make!$BP8</f>
        <v>8.8043709615021873E-4</v>
      </c>
      <c r="AV8" s="21">
        <f>Make!AV8/Make!$BP8</f>
        <v>1.6432518729158215E-3</v>
      </c>
      <c r="AW8" s="21">
        <f>Make!AW8/Make!$BP8</f>
        <v>4.1921537736831225E-3</v>
      </c>
      <c r="AX8" s="21">
        <f>Make!AX8/Make!$BP8</f>
        <v>3.4293009683629178E-3</v>
      </c>
      <c r="AY8" s="21">
        <f>Make!AY8/Make!$BP8</f>
        <v>2.0030374927702963E-2</v>
      </c>
      <c r="AZ8" s="21">
        <f>Make!AZ8/Make!$BP8</f>
        <v>5.1374929363544354E-3</v>
      </c>
      <c r="BA8" s="21">
        <f>Make!BA8/Make!$BP8</f>
        <v>3.0894118882763152E-2</v>
      </c>
      <c r="BB8" s="21">
        <f>Make!BB8/Make!$BP8</f>
        <v>3.3518494788230963E-3</v>
      </c>
      <c r="BC8" s="21">
        <f>Make!BC8/Make!$BP8</f>
        <v>5.7690584950029662E-3</v>
      </c>
      <c r="BD8" s="21">
        <f>Make!BD8/Make!$BP8</f>
        <v>6.1752034581545002E-3</v>
      </c>
      <c r="BE8" s="21">
        <f>Make!BE8/Make!$BP8</f>
        <v>7.3858171415459193E-3</v>
      </c>
      <c r="BF8" s="21">
        <f>Make!BF8/Make!$BP8</f>
        <v>1.2983164036335069E-2</v>
      </c>
      <c r="BG8" s="21">
        <f>Make!BG8/Make!$BP8</f>
        <v>1.7669296058115947E-2</v>
      </c>
      <c r="BH8" s="21">
        <f>Make!BH8/Make!$BP8</f>
        <v>6.8083408637265889E-3</v>
      </c>
      <c r="BI8" s="21">
        <f>Make!BI8/Make!$BP8</f>
        <v>3.4952171296734036E-3</v>
      </c>
      <c r="BJ8" s="21">
        <f>Make!BJ8/Make!$BP8</f>
        <v>8.6987022844475306E-3</v>
      </c>
      <c r="BK8" s="21">
        <f>Make!BK8/Make!$BP8</f>
        <v>2.6298228621053306E-2</v>
      </c>
      <c r="BL8" s="21">
        <f>Make!BL8/Make!$BP8</f>
        <v>6.8581278474117949E-2</v>
      </c>
      <c r="BM8" s="21">
        <f>Make!BM8/Make!$BP8</f>
        <v>6.2968060995874809E-3</v>
      </c>
      <c r="BN8" s="21">
        <f>Make!BN8/Make!$BP8</f>
        <v>2.2140490689285176E-2</v>
      </c>
      <c r="BO8" s="21">
        <f>Make!BO8/Make!$BP8</f>
        <v>5.4658188006049945E-3</v>
      </c>
      <c r="BP8" s="19">
        <f t="array" ref="BP8">SUM(B8:BO8)</f>
        <v>1.0000000000000002</v>
      </c>
    </row>
    <row r="9" spans="1:68" x14ac:dyDescent="0.3">
      <c r="A9" t="s">
        <v>327</v>
      </c>
      <c r="B9" s="21">
        <f>Make!B9/Make!$BP9</f>
        <v>3.0853936752489636E-3</v>
      </c>
      <c r="C9" s="21">
        <f>Make!C9/Make!$BP9</f>
        <v>9.0613895086303249E-3</v>
      </c>
      <c r="D9" s="21">
        <f>Make!D9/Make!$BP9</f>
        <v>7.0342079809190632E-4</v>
      </c>
      <c r="E9" s="21">
        <f>Make!E9/Make!$BP9</f>
        <v>1.5735063416229057E-3</v>
      </c>
      <c r="F9" s="21">
        <f>Make!F9/Make!$BP9</f>
        <v>1.3958172430524039E-3</v>
      </c>
      <c r="G9" s="21">
        <f>Make!G9/Make!$BP9</f>
        <v>1.5407015554607743E-2</v>
      </c>
      <c r="H9" s="21">
        <f>Make!H9/Make!$BP9</f>
        <v>5.630258705518777E-3</v>
      </c>
      <c r="I9" s="21">
        <f>Make!I9/Make!$BP9</f>
        <v>0.28874520435399065</v>
      </c>
      <c r="J9" s="21">
        <f>Make!J9/Make!$BP9</f>
        <v>2.0448288762600188E-3</v>
      </c>
      <c r="K9" s="21">
        <f>Make!K9/Make!$BP9</f>
        <v>1.3922039379576227E-2</v>
      </c>
      <c r="L9" s="21">
        <f>Make!L9/Make!$BP9</f>
        <v>6.3012771272966941E-3</v>
      </c>
      <c r="M9" s="21">
        <f>Make!M9/Make!$BP9</f>
        <v>4.4278916134224628E-3</v>
      </c>
      <c r="N9" s="21">
        <f>Make!N9/Make!$BP9</f>
        <v>2.8001018599928098E-3</v>
      </c>
      <c r="O9" s="21">
        <f>Make!O9/Make!$BP9</f>
        <v>1.1996801680061113E-2</v>
      </c>
      <c r="P9" s="21">
        <f>Make!P9/Make!$BP9</f>
        <v>3.5655189253141979E-4</v>
      </c>
      <c r="Q9" s="21">
        <f>Make!Q9/Make!$BP9</f>
        <v>1.3198749595232276E-2</v>
      </c>
      <c r="R9" s="21">
        <f>Make!R9/Make!$BP9</f>
        <v>4.1830084537506362E-3</v>
      </c>
      <c r="S9" s="21">
        <f>Make!S9/Make!$BP9</f>
        <v>8.9137973132854956E-4</v>
      </c>
      <c r="T9" s="21">
        <f>Make!T9/Make!$BP9</f>
        <v>2.4362395218867985E-2</v>
      </c>
      <c r="U9" s="21">
        <f>Make!U9/Make!$BP9</f>
        <v>1.0913732340862096E-2</v>
      </c>
      <c r="V9" s="21">
        <f>Make!V9/Make!$BP9</f>
        <v>1.4051858473294758E-2</v>
      </c>
      <c r="W9" s="21">
        <f>Make!W9/Make!$BP9</f>
        <v>1.4640927806206119E-2</v>
      </c>
      <c r="X9" s="21">
        <f>Make!X9/Make!$BP9</f>
        <v>9.4440561235985051E-5</v>
      </c>
      <c r="Y9" s="21">
        <f>Make!Y9/Make!$BP9</f>
        <v>3.6177902878802314E-3</v>
      </c>
      <c r="Z9" s="21">
        <f>Make!Z9/Make!$BP9</f>
        <v>3.2024446398274654E-2</v>
      </c>
      <c r="AA9" s="21">
        <f>Make!AA9/Make!$BP9</f>
        <v>1.8381662686232439E-2</v>
      </c>
      <c r="AB9" s="21">
        <f>Make!AB9/Make!$BP9</f>
        <v>4.0043552482522922E-3</v>
      </c>
      <c r="AC9" s="21">
        <f>Make!AC9/Make!$BP9</f>
        <v>5.8434520896493668E-3</v>
      </c>
      <c r="AD9" s="21">
        <f>Make!AD9/Make!$BP9</f>
        <v>5.3950166151253689E-3</v>
      </c>
      <c r="AE9" s="21">
        <f>Make!AE9/Make!$BP9</f>
        <v>3.4418617323953536E-3</v>
      </c>
      <c r="AF9" s="21">
        <f>Make!AF9/Make!$BP9</f>
        <v>1.0076174926722629E-3</v>
      </c>
      <c r="AG9" s="21">
        <f>Make!AG9/Make!$BP9</f>
        <v>5.2505766302576563E-2</v>
      </c>
      <c r="AH9" s="21">
        <f>Make!AH9/Make!$BP9</f>
        <v>1.1050928948463242E-2</v>
      </c>
      <c r="AI9" s="21">
        <f>Make!AI9/Make!$BP9</f>
        <v>7.40383819351512E-3</v>
      </c>
      <c r="AJ9" s="21">
        <f>Make!AJ9/Make!$BP9</f>
        <v>6.8208469260184134E-4</v>
      </c>
      <c r="AK9" s="21">
        <f>Make!AK9/Make!$BP9</f>
        <v>1.4461813506090111E-2</v>
      </c>
      <c r="AL9" s="21">
        <f>Make!AL9/Make!$BP9</f>
        <v>9.8890543473362843E-3</v>
      </c>
      <c r="AM9" s="21">
        <f>Make!AM9/Make!$BP9</f>
        <v>1.6798096098405968E-3</v>
      </c>
      <c r="AN9" s="21">
        <f>Make!AN9/Make!$BP9</f>
        <v>5.3149538224219811E-3</v>
      </c>
      <c r="AO9" s="21">
        <f>Make!AO9/Make!$BP9</f>
        <v>1.3441620705663388E-2</v>
      </c>
      <c r="AP9" s="21">
        <f>Make!AP9/Make!$BP9</f>
        <v>1.0061713322805003E-2</v>
      </c>
      <c r="AQ9" s="21">
        <f>Make!AQ9/Make!$BP9</f>
        <v>1.1394234850159965E-2</v>
      </c>
      <c r="AR9" s="21">
        <f>Make!AR9/Make!$BP9</f>
        <v>1.0361089482746149E-2</v>
      </c>
      <c r="AS9" s="21">
        <f>Make!AS9/Make!$BP9</f>
        <v>1.7839960345862875E-2</v>
      </c>
      <c r="AT9" s="21">
        <f>Make!AT9/Make!$BP9</f>
        <v>1.1631656660564146E-2</v>
      </c>
      <c r="AU9" s="21">
        <f>Make!AU9/Make!$BP9</f>
        <v>1.4683767687956309E-4</v>
      </c>
      <c r="AV9" s="21">
        <f>Make!AV9/Make!$BP9</f>
        <v>1.8157486866662957E-3</v>
      </c>
      <c r="AW9" s="21">
        <f>Make!AW9/Make!$BP9</f>
        <v>3.9333885948246309E-3</v>
      </c>
      <c r="AX9" s="21">
        <f>Make!AX9/Make!$BP9</f>
        <v>2.9044349966623026E-3</v>
      </c>
      <c r="AY9" s="21">
        <f>Make!AY9/Make!$BP9</f>
        <v>2.5861916833202159E-2</v>
      </c>
      <c r="AZ9" s="21">
        <f>Make!AZ9/Make!$BP9</f>
        <v>5.4945711348481675E-3</v>
      </c>
      <c r="BA9" s="21">
        <f>Make!BA9/Make!$BP9</f>
        <v>3.1998876605840589E-2</v>
      </c>
      <c r="BB9" s="21">
        <f>Make!BB9/Make!$BP9</f>
        <v>4.3337863937265965E-3</v>
      </c>
      <c r="BC9" s="21">
        <f>Make!BC9/Make!$BP9</f>
        <v>5.8737166636450974E-3</v>
      </c>
      <c r="BD9" s="21">
        <f>Make!BD9/Make!$BP9</f>
        <v>4.2673468510905392E-3</v>
      </c>
      <c r="BE9" s="21">
        <f>Make!BE9/Make!$BP9</f>
        <v>8.3288778319331042E-3</v>
      </c>
      <c r="BF9" s="21">
        <f>Make!BF9/Make!$BP9</f>
        <v>1.640327335260848E-2</v>
      </c>
      <c r="BG9" s="21">
        <f>Make!BG9/Make!$BP9</f>
        <v>2.1100905317364083E-2</v>
      </c>
      <c r="BH9" s="21">
        <f>Make!BH9/Make!$BP9</f>
        <v>8.6663571743702626E-3</v>
      </c>
      <c r="BI9" s="21">
        <f>Make!BI9/Make!$BP9</f>
        <v>2.6006574790070945E-3</v>
      </c>
      <c r="BJ9" s="21">
        <f>Make!BJ9/Make!$BP9</f>
        <v>1.47339431658966E-2</v>
      </c>
      <c r="BK9" s="21">
        <f>Make!BK9/Make!$BP9</f>
        <v>2.9016810042640759E-2</v>
      </c>
      <c r="BL9" s="21">
        <f>Make!BL9/Make!$BP9</f>
        <v>7.869694661048296E-2</v>
      </c>
      <c r="BM9" s="21">
        <f>Make!BM9/Make!$BP9</f>
        <v>8.8790056284981586E-3</v>
      </c>
      <c r="BN9" s="21">
        <f>Make!BN9/Make!$BP9</f>
        <v>2.0616252956507243E-2</v>
      </c>
      <c r="BO9" s="21">
        <f>Make!BO9/Make!$BP9</f>
        <v>3.1036278714929289E-3</v>
      </c>
      <c r="BP9" s="19">
        <f t="array" ref="BP9">SUM(B9:BO9)</f>
        <v>0.99999999999999956</v>
      </c>
    </row>
    <row r="10" spans="1:68" x14ac:dyDescent="0.3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A92CA-8B6F-4507-823B-B0B2D73235FC}">
  <dimension ref="A1:BP8"/>
  <sheetViews>
    <sheetView topLeftCell="AJ1" workbookViewId="0">
      <selection activeCell="AL20" sqref="AL20"/>
    </sheetView>
  </sheetViews>
  <sheetFormatPr defaultRowHeight="14.4" x14ac:dyDescent="0.3"/>
  <cols>
    <col min="1" max="1" width="12.5546875" bestFit="1" customWidth="1"/>
    <col min="2" max="2" width="15.88671875" bestFit="1" customWidth="1"/>
    <col min="3" max="3" width="16.88671875" bestFit="1" customWidth="1"/>
    <col min="4" max="6" width="15.88671875" bestFit="1" customWidth="1"/>
    <col min="7" max="8" width="16.88671875" bestFit="1" customWidth="1"/>
    <col min="9" max="9" width="18.44140625" bestFit="1" customWidth="1"/>
    <col min="10" max="11" width="16.88671875" bestFit="1" customWidth="1"/>
    <col min="12" max="14" width="15.88671875" bestFit="1" customWidth="1"/>
    <col min="15" max="15" width="16.88671875" bestFit="1" customWidth="1"/>
    <col min="16" max="16" width="15.88671875" bestFit="1" customWidth="1"/>
    <col min="17" max="17" width="16.88671875" bestFit="1" customWidth="1"/>
    <col min="18" max="19" width="15.88671875" bestFit="1" customWidth="1"/>
    <col min="20" max="23" width="16.88671875" bestFit="1" customWidth="1"/>
    <col min="24" max="25" width="15.88671875" bestFit="1" customWidth="1"/>
    <col min="26" max="27" width="18.44140625" bestFit="1" customWidth="1"/>
    <col min="28" max="30" width="16.88671875" bestFit="1" customWidth="1"/>
    <col min="31" max="32" width="15.88671875" bestFit="1" customWidth="1"/>
    <col min="33" max="35" width="16.88671875" bestFit="1" customWidth="1"/>
    <col min="36" max="36" width="15.88671875" bestFit="1" customWidth="1"/>
    <col min="37" max="38" width="16.88671875" bestFit="1" customWidth="1"/>
    <col min="39" max="40" width="15.88671875" bestFit="1" customWidth="1"/>
    <col min="41" max="41" width="18.44140625" bestFit="1" customWidth="1"/>
    <col min="42" max="42" width="15.88671875" bestFit="1" customWidth="1"/>
    <col min="43" max="46" width="16.88671875" bestFit="1" customWidth="1"/>
    <col min="47" max="48" width="15.88671875" bestFit="1" customWidth="1"/>
    <col min="49" max="49" width="16.88671875" bestFit="1" customWidth="1"/>
    <col min="50" max="50" width="15.88671875" bestFit="1" customWidth="1"/>
    <col min="51" max="51" width="16.88671875" bestFit="1" customWidth="1"/>
    <col min="52" max="52" width="15.88671875" bestFit="1" customWidth="1"/>
    <col min="53" max="53" width="16.88671875" bestFit="1" customWidth="1"/>
    <col min="54" max="54" width="15.88671875" bestFit="1" customWidth="1"/>
    <col min="55" max="63" width="16.88671875" bestFit="1" customWidth="1"/>
    <col min="64" max="64" width="18.44140625" bestFit="1" customWidth="1"/>
    <col min="65" max="66" width="16.88671875" bestFit="1" customWidth="1"/>
    <col min="67" max="67" width="15.88671875" bestFit="1" customWidth="1"/>
    <col min="68" max="68" width="17.77734375" bestFit="1" customWidth="1"/>
  </cols>
  <sheetData>
    <row r="1" spans="1:68" x14ac:dyDescent="0.3">
      <c r="A1" t="s">
        <v>331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269</v>
      </c>
      <c r="P1" t="s">
        <v>270</v>
      </c>
      <c r="Q1" t="s">
        <v>271</v>
      </c>
      <c r="R1" t="s">
        <v>272</v>
      </c>
      <c r="S1" t="s">
        <v>273</v>
      </c>
      <c r="T1" t="s">
        <v>274</v>
      </c>
      <c r="U1" t="s">
        <v>275</v>
      </c>
      <c r="V1" t="s">
        <v>276</v>
      </c>
      <c r="W1" t="s">
        <v>277</v>
      </c>
      <c r="X1" t="s">
        <v>278</v>
      </c>
      <c r="Y1" t="s">
        <v>279</v>
      </c>
      <c r="Z1" t="s">
        <v>280</v>
      </c>
      <c r="AA1" t="s">
        <v>281</v>
      </c>
      <c r="AB1" t="s">
        <v>282</v>
      </c>
      <c r="AC1" t="s">
        <v>283</v>
      </c>
      <c r="AD1" t="s">
        <v>284</v>
      </c>
      <c r="AE1" t="s">
        <v>285</v>
      </c>
      <c r="AF1" t="s">
        <v>286</v>
      </c>
      <c r="AG1" t="s">
        <v>287</v>
      </c>
      <c r="AH1" t="s">
        <v>288</v>
      </c>
      <c r="AI1" t="s">
        <v>289</v>
      </c>
      <c r="AJ1" t="s">
        <v>290</v>
      </c>
      <c r="AK1" t="s">
        <v>291</v>
      </c>
      <c r="AL1" t="s">
        <v>292</v>
      </c>
      <c r="AM1" t="s">
        <v>293</v>
      </c>
      <c r="AN1" t="s">
        <v>294</v>
      </c>
      <c r="AO1" t="s">
        <v>295</v>
      </c>
      <c r="AP1" t="s">
        <v>296</v>
      </c>
      <c r="AQ1" t="s">
        <v>297</v>
      </c>
      <c r="AR1" t="s">
        <v>298</v>
      </c>
      <c r="AS1" t="s">
        <v>299</v>
      </c>
      <c r="AT1" t="s">
        <v>300</v>
      </c>
      <c r="AU1" t="s">
        <v>301</v>
      </c>
      <c r="AV1" t="s">
        <v>302</v>
      </c>
      <c r="AW1" t="s">
        <v>303</v>
      </c>
      <c r="AX1" t="s">
        <v>304</v>
      </c>
      <c r="AY1" t="s">
        <v>305</v>
      </c>
      <c r="AZ1" t="s">
        <v>306</v>
      </c>
      <c r="BA1" t="s">
        <v>307</v>
      </c>
      <c r="BB1" t="s">
        <v>308</v>
      </c>
      <c r="BC1" t="s">
        <v>309</v>
      </c>
      <c r="BD1" t="s">
        <v>310</v>
      </c>
      <c r="BE1" t="s">
        <v>311</v>
      </c>
      <c r="BF1" t="s">
        <v>312</v>
      </c>
      <c r="BG1" t="s">
        <v>313</v>
      </c>
      <c r="BH1" t="s">
        <v>314</v>
      </c>
      <c r="BI1" t="s">
        <v>315</v>
      </c>
      <c r="BJ1" t="s">
        <v>316</v>
      </c>
      <c r="BK1" t="s">
        <v>317</v>
      </c>
      <c r="BL1" t="s">
        <v>318</v>
      </c>
      <c r="BM1" t="s">
        <v>319</v>
      </c>
      <c r="BN1" t="s">
        <v>320</v>
      </c>
      <c r="BO1" t="s">
        <v>321</v>
      </c>
      <c r="BP1" s="18" t="s">
        <v>333</v>
      </c>
    </row>
    <row r="2" spans="1:68" x14ac:dyDescent="0.3">
      <c r="A2" t="s">
        <v>322</v>
      </c>
      <c r="B2" s="21">
        <f>ICMS!$H$3*'Share_Make '!B2</f>
        <v>6002625.2625998454</v>
      </c>
      <c r="C2" s="21">
        <f>ICMS!$H$3*'Share_Make '!C2</f>
        <v>8119814.4742218331</v>
      </c>
      <c r="D2" s="21">
        <f>ICMS!$H$3*'Share_Make '!D2</f>
        <v>1540026.3751158696</v>
      </c>
      <c r="E2" s="21">
        <f>ICMS!$H$3*'Share_Make '!E2</f>
        <v>2728251.5928318324</v>
      </c>
      <c r="F2" s="21">
        <f>ICMS!$H$3*'Share_Make '!F2</f>
        <v>1167496.0843590435</v>
      </c>
      <c r="G2" s="21">
        <f>ICMS!$H$3*'Share_Make '!G2</f>
        <v>22192172.530736815</v>
      </c>
      <c r="H2" s="21">
        <f>ICMS!$H$3*'Share_Make '!H2</f>
        <v>5368139.6665695552</v>
      </c>
      <c r="I2" s="21">
        <f>ICMS!$H$3*'Share_Make '!I2</f>
        <v>30090284.100241769</v>
      </c>
      <c r="J2" s="21">
        <f>ICMS!$H$3*'Share_Make '!J2</f>
        <v>1106555.7263631059</v>
      </c>
      <c r="K2" s="21">
        <f>ICMS!$H$3*'Share_Make '!K2</f>
        <v>5646012.4051187923</v>
      </c>
      <c r="L2" s="21">
        <f>ICMS!$H$3*'Share_Make '!L2</f>
        <v>3100770.119040783</v>
      </c>
      <c r="M2" s="21">
        <f>ICMS!$H$3*'Share_Make '!M2</f>
        <v>4092839.1477518687</v>
      </c>
      <c r="N2" s="21">
        <f>ICMS!$H$3*'Share_Make '!N2</f>
        <v>4287795.3528734278</v>
      </c>
      <c r="O2" s="21">
        <f>ICMS!$H$3*'Share_Make '!O2</f>
        <v>3108381.7815163378</v>
      </c>
      <c r="P2" s="21">
        <f>ICMS!$H$3*'Share_Make '!P2</f>
        <v>1989626.2190061682</v>
      </c>
      <c r="Q2" s="21">
        <f>ICMS!$H$3*'Share_Make '!Q2</f>
        <v>1521073.6884881756</v>
      </c>
      <c r="R2" s="21">
        <f>ICMS!$H$3*'Share_Make '!R2</f>
        <v>3258126.8291517217</v>
      </c>
      <c r="S2" s="21">
        <f>ICMS!$H$3*'Share_Make '!S2</f>
        <v>1055815.231375369</v>
      </c>
      <c r="T2" s="21">
        <f>ICMS!$H$3*'Share_Make '!T2</f>
        <v>6018866.2209421992</v>
      </c>
      <c r="U2" s="21">
        <f>ICMS!$H$3*'Share_Make '!U2</f>
        <v>3972187.8270130004</v>
      </c>
      <c r="V2" s="21">
        <f>ICMS!$H$3*'Share_Make '!V2</f>
        <v>14508199.261664689</v>
      </c>
      <c r="W2" s="21">
        <f>ICMS!$H$3*'Share_Make '!W2</f>
        <v>7409735.7758164685</v>
      </c>
      <c r="X2" s="21">
        <f>ICMS!$H$3*'Share_Make '!X2</f>
        <v>423876.65996016003</v>
      </c>
      <c r="Y2" s="21">
        <f>ICMS!$H$3*'Share_Make '!Y2</f>
        <v>2480166.6895037759</v>
      </c>
      <c r="Z2" s="21">
        <f>ICMS!$H$3*'Share_Make '!Z2</f>
        <v>2833597.2367844624</v>
      </c>
      <c r="AA2" s="21">
        <f>ICMS!$H$3*'Share_Make '!AA2</f>
        <v>5816674.8188771065</v>
      </c>
      <c r="AB2" s="21">
        <f>ICMS!$H$3*'Share_Make '!AB2</f>
        <v>1776364.3773900762</v>
      </c>
      <c r="AC2" s="21">
        <f>ICMS!$H$3*'Share_Make '!AC2</f>
        <v>3340749.2488825065</v>
      </c>
      <c r="AD2" s="21">
        <f>ICMS!$H$3*'Share_Make '!AD2</f>
        <v>7996822.0084557096</v>
      </c>
      <c r="AE2" s="21">
        <f>ICMS!$H$3*'Share_Make '!AE2</f>
        <v>4516227.5789751885</v>
      </c>
      <c r="AF2" s="21">
        <f>ICMS!$H$3*'Share_Make '!AF2</f>
        <v>3260015.0390857658</v>
      </c>
      <c r="AG2" s="21">
        <f>ICMS!$H$3*'Share_Make '!AG2</f>
        <v>5743887.5611703759</v>
      </c>
      <c r="AH2" s="21">
        <f>ICMS!$H$3*'Share_Make '!AH2</f>
        <v>4031857.6138383658</v>
      </c>
      <c r="AI2" s="21">
        <f>ICMS!$H$3*'Share_Make '!AI2</f>
        <v>8412845.8327088617</v>
      </c>
      <c r="AJ2" s="21">
        <f>ICMS!$H$3*'Share_Make '!AJ2</f>
        <v>922722.90125798632</v>
      </c>
      <c r="AK2" s="21">
        <f>ICMS!$H$3*'Share_Make '!AK2</f>
        <v>5054214.4710553475</v>
      </c>
      <c r="AL2" s="21">
        <f>ICMS!$H$3*'Share_Make '!AL2</f>
        <v>4904940.0053349901</v>
      </c>
      <c r="AM2" s="21">
        <f>ICMS!$H$3*'Share_Make '!AM2</f>
        <v>5796975.0834593074</v>
      </c>
      <c r="AN2" s="21">
        <f>ICMS!$H$3*'Share_Make '!AN2</f>
        <v>3629333.6082725353</v>
      </c>
      <c r="AO2" s="21">
        <f>ICMS!$H$3*'Share_Make '!AO2</f>
        <v>2834344.285574567</v>
      </c>
      <c r="AP2" s="21">
        <f>ICMS!$H$3*'Share_Make '!AP2</f>
        <v>6671122.166538679</v>
      </c>
      <c r="AQ2" s="21">
        <f>ICMS!$H$3*'Share_Make '!AQ2</f>
        <v>17664998.03996332</v>
      </c>
      <c r="AR2" s="21">
        <f>ICMS!$H$3*'Share_Make '!AR2</f>
        <v>8501491.7009519879</v>
      </c>
      <c r="AS2" s="21">
        <f>ICMS!$H$3*'Share_Make '!AS2</f>
        <v>13574205.92354182</v>
      </c>
      <c r="AT2" s="21">
        <f>ICMS!$H$3*'Share_Make '!AT2</f>
        <v>16106348.385560274</v>
      </c>
      <c r="AU2" s="21">
        <f>ICMS!$H$3*'Share_Make '!AU2</f>
        <v>1518826.6598439238</v>
      </c>
      <c r="AV2" s="21">
        <f>ICMS!$H$3*'Share_Make '!AV2</f>
        <v>376630.23569149495</v>
      </c>
      <c r="AW2" s="21">
        <f>ICMS!$H$3*'Share_Make '!AW2</f>
        <v>2506536.9235670762</v>
      </c>
      <c r="AX2" s="21">
        <f>ICMS!$H$3*'Share_Make '!AX2</f>
        <v>5749069.8445096053</v>
      </c>
      <c r="AY2" s="21">
        <f>ICMS!$H$3*'Share_Make '!AY2</f>
        <v>9016143.6123207696</v>
      </c>
      <c r="AZ2" s="21">
        <f>ICMS!$H$3*'Share_Make '!AZ2</f>
        <v>7634950.3980742348</v>
      </c>
      <c r="BA2" s="21">
        <f>ICMS!$H$3*'Share_Make '!BA2</f>
        <v>4612902.7511434536</v>
      </c>
      <c r="BB2" s="21">
        <f>ICMS!$H$3*'Share_Make '!BB2</f>
        <v>1786340.7139886387</v>
      </c>
      <c r="BC2" s="21">
        <f>ICMS!$H$3*'Share_Make '!BC2</f>
        <v>4053363.2073550792</v>
      </c>
      <c r="BD2" s="21">
        <f>ICMS!$H$3*'Share_Make '!BD2</f>
        <v>3931335.4345147586</v>
      </c>
      <c r="BE2" s="21">
        <f>ICMS!$H$3*'Share_Make '!BE2</f>
        <v>5268541.0042541875</v>
      </c>
      <c r="BF2" s="21">
        <f>ICMS!$H$3*'Share_Make '!BF2</f>
        <v>8976050.0331605095</v>
      </c>
      <c r="BG2" s="21">
        <f>ICMS!$H$3*'Share_Make '!BG2</f>
        <v>6951353.6969369864</v>
      </c>
      <c r="BH2" s="21">
        <f>ICMS!$H$3*'Share_Make '!BH2</f>
        <v>3604116.29990105</v>
      </c>
      <c r="BI2" s="21">
        <f>ICMS!$H$3*'Share_Make '!BI2</f>
        <v>4182137.9484020933</v>
      </c>
      <c r="BJ2" s="21">
        <f>ICMS!$H$3*'Share_Make '!BJ2</f>
        <v>4794270.9034686219</v>
      </c>
      <c r="BK2" s="21">
        <f>ICMS!$H$3*'Share_Make '!BK2</f>
        <v>11528709.866674121</v>
      </c>
      <c r="BL2" s="21">
        <f>ICMS!$H$3*'Share_Make '!BL2</f>
        <v>40607454.61147058</v>
      </c>
      <c r="BM2" s="21">
        <f>ICMS!$H$3*'Share_Make '!BM2</f>
        <v>24459595.018731028</v>
      </c>
      <c r="BN2" s="21">
        <f>ICMS!$H$3*'Share_Make '!BN2</f>
        <v>11952668.878469413</v>
      </c>
      <c r="BO2" s="21">
        <f>ICMS!$H$3*'Share_Make '!BO2</f>
        <v>5322252.047580529</v>
      </c>
      <c r="BP2" s="19">
        <f t="array" ref="BP2">SUM(B2:BO2)</f>
        <v>443411827</v>
      </c>
    </row>
    <row r="3" spans="1:68" x14ac:dyDescent="0.3">
      <c r="A3" t="s">
        <v>323</v>
      </c>
      <c r="B3" s="21">
        <f>ICMS!$H$4*'Share_Make '!B3</f>
        <v>1037932.5863481062</v>
      </c>
      <c r="C3" s="21">
        <f>ICMS!$H$4*'Share_Make '!C3</f>
        <v>3089239.0461156764</v>
      </c>
      <c r="D3" s="21">
        <f>ICMS!$H$4*'Share_Make '!D3</f>
        <v>587229.34286772099</v>
      </c>
      <c r="E3" s="21">
        <f>ICMS!$H$4*'Share_Make '!E3</f>
        <v>520819.09548079985</v>
      </c>
      <c r="F3" s="21">
        <f>ICMS!$H$4*'Share_Make '!F3</f>
        <v>491464.89422881283</v>
      </c>
      <c r="G3" s="21">
        <f>ICMS!$H$4*'Share_Make '!G3</f>
        <v>19912538.673547797</v>
      </c>
      <c r="H3" s="21">
        <f>ICMS!$H$4*'Share_Make '!H3</f>
        <v>3015417.5895017679</v>
      </c>
      <c r="I3" s="21">
        <f>ICMS!$H$4*'Share_Make '!I3</f>
        <v>862133907.99565542</v>
      </c>
      <c r="J3" s="21">
        <f>ICMS!$H$4*'Share_Make '!J3</f>
        <v>747442.24821581866</v>
      </c>
      <c r="K3" s="21">
        <f>ICMS!$H$4*'Share_Make '!K3</f>
        <v>3238189.8197953133</v>
      </c>
      <c r="L3" s="21">
        <f>ICMS!$H$4*'Share_Make '!L3</f>
        <v>1188845.1507054751</v>
      </c>
      <c r="M3" s="21">
        <f>ICMS!$H$4*'Share_Make '!M3</f>
        <v>688225.23331391404</v>
      </c>
      <c r="N3" s="21">
        <f>ICMS!$H$4*'Share_Make '!N3</f>
        <v>1283810.3512904928</v>
      </c>
      <c r="O3" s="21">
        <f>ICMS!$H$4*'Share_Make '!O3</f>
        <v>7419492.3431816949</v>
      </c>
      <c r="P3" s="21">
        <f>ICMS!$H$4*'Share_Make '!P3</f>
        <v>13327025.345144089</v>
      </c>
      <c r="Q3" s="21">
        <f>ICMS!$H$4*'Share_Make '!Q3</f>
        <v>86751255.676268399</v>
      </c>
      <c r="R3" s="21">
        <f>ICMS!$H$4*'Share_Make '!R3</f>
        <v>1086323.4230654908</v>
      </c>
      <c r="S3" s="21">
        <f>ICMS!$H$4*'Share_Make '!S3</f>
        <v>592460.78467500582</v>
      </c>
      <c r="T3" s="21">
        <f>ICMS!$H$4*'Share_Make '!T3</f>
        <v>40352363.085921504</v>
      </c>
      <c r="U3" s="21">
        <f>ICMS!$H$4*'Share_Make '!U3</f>
        <v>4827312.9276720667</v>
      </c>
      <c r="V3" s="21">
        <f>ICMS!$H$4*'Share_Make '!V3</f>
        <v>11894918.150399869</v>
      </c>
      <c r="W3" s="21">
        <f>ICMS!$H$4*'Share_Make '!W3</f>
        <v>3783131.6747208154</v>
      </c>
      <c r="X3" s="21">
        <f>ICMS!$H$4*'Share_Make '!X3</f>
        <v>979078.86601615185</v>
      </c>
      <c r="Y3" s="21">
        <f>ICMS!$H$4*'Share_Make '!Y3</f>
        <v>1243484.6540260056</v>
      </c>
      <c r="Z3" s="21">
        <f>ICMS!$H$4*'Share_Make '!Z3</f>
        <v>74428085.886811063</v>
      </c>
      <c r="AA3" s="21">
        <f>ICMS!$H$4*'Share_Make '!AA3</f>
        <v>121993953.29475243</v>
      </c>
      <c r="AB3" s="21">
        <f>ICMS!$H$4*'Share_Make '!AB3</f>
        <v>22111342.7287152</v>
      </c>
      <c r="AC3" s="21">
        <f>ICMS!$H$4*'Share_Make '!AC3</f>
        <v>4718615.1923429267</v>
      </c>
      <c r="AD3" s="21">
        <f>ICMS!$H$4*'Share_Make '!AD3</f>
        <v>3746656.8998978017</v>
      </c>
      <c r="AE3" s="21">
        <f>ICMS!$H$4*'Share_Make '!AE3</f>
        <v>3786401.3258503685</v>
      </c>
      <c r="AF3" s="21">
        <f>ICMS!$H$4*'Share_Make '!AF3</f>
        <v>623922.09443270473</v>
      </c>
      <c r="AG3" s="21">
        <f>ICMS!$H$4*'Share_Make '!AG3</f>
        <v>20691078.936951362</v>
      </c>
      <c r="AH3" s="21">
        <f>ICMS!$H$4*'Share_Make '!AH3</f>
        <v>2908318.3502804092</v>
      </c>
      <c r="AI3" s="21">
        <f>ICMS!$H$4*'Share_Make '!AI3</f>
        <v>9474722.3843047302</v>
      </c>
      <c r="AJ3" s="21">
        <f>ICMS!$H$4*'Share_Make '!AJ3</f>
        <v>276467.16773220472</v>
      </c>
      <c r="AK3" s="21">
        <f>ICMS!$H$4*'Share_Make '!AK3</f>
        <v>8541273.3162743393</v>
      </c>
      <c r="AL3" s="21">
        <f>ICMS!$H$4*'Share_Make '!AL3</f>
        <v>5085615.3669067556</v>
      </c>
      <c r="AM3" s="21">
        <f>ICMS!$H$4*'Share_Make '!AM3</f>
        <v>1032628.4856268312</v>
      </c>
      <c r="AN3" s="21">
        <f>ICMS!$H$4*'Share_Make '!AN3</f>
        <v>5832766.9794666134</v>
      </c>
      <c r="AO3" s="21">
        <f>ICMS!$H$4*'Share_Make '!AO3</f>
        <v>148265309.48505494</v>
      </c>
      <c r="AP3" s="21">
        <f>ICMS!$H$4*'Share_Make '!AP3</f>
        <v>3296607.5866433275</v>
      </c>
      <c r="AQ3" s="21">
        <f>ICMS!$H$4*'Share_Make '!AQ3</f>
        <v>18627856.415289424</v>
      </c>
      <c r="AR3" s="21">
        <f>ICMS!$H$4*'Share_Make '!AR3</f>
        <v>9073209.2255956177</v>
      </c>
      <c r="AS3" s="21">
        <f>ICMS!$H$4*'Share_Make '!AS3</f>
        <v>4113802.3922896096</v>
      </c>
      <c r="AT3" s="21">
        <f>ICMS!$H$4*'Share_Make '!AT3</f>
        <v>2642023.4305068143</v>
      </c>
      <c r="AU3" s="21">
        <f>ICMS!$H$4*'Share_Make '!AU3</f>
        <v>167115.50217715395</v>
      </c>
      <c r="AV3" s="21">
        <f>ICMS!$H$4*'Share_Make '!AV3</f>
        <v>449540.70085654419</v>
      </c>
      <c r="AW3" s="21">
        <f>ICMS!$H$4*'Share_Make '!AW3</f>
        <v>2012288.6229549039</v>
      </c>
      <c r="AX3" s="21">
        <f>ICMS!$H$4*'Share_Make '!AX3</f>
        <v>1687721.2541612748</v>
      </c>
      <c r="AY3" s="21">
        <f>ICMS!$H$4*'Share_Make '!AY3</f>
        <v>18740332.414146047</v>
      </c>
      <c r="AZ3" s="21">
        <f>ICMS!$H$4*'Share_Make '!AZ3</f>
        <v>1955905.3056986118</v>
      </c>
      <c r="BA3" s="21">
        <f>ICMS!$H$4*'Share_Make '!BA3</f>
        <v>17292022.281582043</v>
      </c>
      <c r="BB3" s="21">
        <f>ICMS!$H$4*'Share_Make '!BB3</f>
        <v>897846.20017525705</v>
      </c>
      <c r="BC3" s="21">
        <f>ICMS!$H$4*'Share_Make '!BC3</f>
        <v>3527226.9796477994</v>
      </c>
      <c r="BD3" s="21">
        <f>ICMS!$H$4*'Share_Make '!BD3</f>
        <v>5292112.0004665256</v>
      </c>
      <c r="BE3" s="21">
        <f>ICMS!$H$4*'Share_Make '!BE3</f>
        <v>2896111.6527300784</v>
      </c>
      <c r="BF3" s="21">
        <f>ICMS!$H$4*'Share_Make '!BF3</f>
        <v>4890598.8417574158</v>
      </c>
      <c r="BG3" s="21">
        <f>ICMS!$H$4*'Share_Make '!BG3</f>
        <v>16168715.471295606</v>
      </c>
      <c r="BH3" s="21">
        <f>ICMS!$H$4*'Share_Make '!BH3</f>
        <v>1530560.0232007601</v>
      </c>
      <c r="BI3" s="21">
        <f>ICMS!$H$4*'Share_Make '!BI3</f>
        <v>4413520.4124986362</v>
      </c>
      <c r="BJ3" s="21">
        <f>ICMS!$H$4*'Share_Make '!BJ3</f>
        <v>7982380.9498627447</v>
      </c>
      <c r="BK3" s="21">
        <f>ICMS!$H$4*'Share_Make '!BK3</f>
        <v>21101965.095565192</v>
      </c>
      <c r="BL3" s="21">
        <f>ICMS!$H$4*'Share_Make '!BL3</f>
        <v>47509484.09068507</v>
      </c>
      <c r="BM3" s="21">
        <f>ICMS!$H$4*'Share_Make '!BM3</f>
        <v>2602860.2758661681</v>
      </c>
      <c r="BN3" s="21">
        <f>ICMS!$H$4*'Share_Make '!BN3</f>
        <v>8877320.7934783977</v>
      </c>
      <c r="BO3" s="21">
        <f>ICMS!$H$4*'Share_Make '!BO3</f>
        <v>1278724.2273111881</v>
      </c>
      <c r="BP3" s="19">
        <f t="array" ref="BP3">SUM(B3:BO3)</f>
        <v>1712736919.0000014</v>
      </c>
    </row>
    <row r="4" spans="1:68" x14ac:dyDescent="0.3">
      <c r="A4" t="s">
        <v>324</v>
      </c>
      <c r="B4" s="21">
        <f>ICMS!$H$5*'Share_Make '!B4</f>
        <v>13284110.221268257</v>
      </c>
      <c r="C4" s="21">
        <f>ICMS!$H$5*'Share_Make '!C4</f>
        <v>93929717.754239529</v>
      </c>
      <c r="D4" s="21">
        <f>ICMS!$H$5*'Share_Make '!D4</f>
        <v>21077442.508968998</v>
      </c>
      <c r="E4" s="21">
        <f>ICMS!$H$5*'Share_Make '!E4</f>
        <v>9778662.7786497716</v>
      </c>
      <c r="F4" s="21">
        <f>ICMS!$H$5*'Share_Make '!F4</f>
        <v>13663830.073103188</v>
      </c>
      <c r="G4" s="21">
        <f>ICMS!$H$5*'Share_Make '!G4</f>
        <v>717832638.27521873</v>
      </c>
      <c r="H4" s="21">
        <f>ICMS!$H$5*'Share_Make '!H4</f>
        <v>92148891.46377629</v>
      </c>
      <c r="I4" s="21">
        <f>ICMS!$H$5*'Share_Make '!I4</f>
        <v>7595780405.0019207</v>
      </c>
      <c r="J4" s="21">
        <f>ICMS!$H$5*'Share_Make '!J4</f>
        <v>172698692.43988863</v>
      </c>
      <c r="K4" s="21">
        <f>ICMS!$H$5*'Share_Make '!K4</f>
        <v>75391406.823768064</v>
      </c>
      <c r="L4" s="21">
        <f>ICMS!$H$5*'Share_Make '!L4</f>
        <v>30144517.298031308</v>
      </c>
      <c r="M4" s="21">
        <f>ICMS!$H$5*'Share_Make '!M4</f>
        <v>24518950.161218751</v>
      </c>
      <c r="N4" s="21">
        <f>ICMS!$H$5*'Share_Make '!N4</f>
        <v>36039456.583945669</v>
      </c>
      <c r="O4" s="21">
        <f>ICMS!$H$5*'Share_Make '!O4</f>
        <v>105310175.41032009</v>
      </c>
      <c r="P4" s="21">
        <f>ICMS!$H$5*'Share_Make '!P4</f>
        <v>50500471.462775111</v>
      </c>
      <c r="Q4" s="21">
        <f>ICMS!$H$5*'Share_Make '!Q4</f>
        <v>837652092.79322708</v>
      </c>
      <c r="R4" s="21">
        <f>ICMS!$H$5*'Share_Make '!R4</f>
        <v>32349202.521422733</v>
      </c>
      <c r="S4" s="21">
        <f>ICMS!$H$5*'Share_Make '!S4</f>
        <v>13318245.819029624</v>
      </c>
      <c r="T4" s="21">
        <f>ICMS!$H$5*'Share_Make '!T4</f>
        <v>396062449.73840475</v>
      </c>
      <c r="U4" s="21">
        <f>ICMS!$H$5*'Share_Make '!U4</f>
        <v>162440481.23347339</v>
      </c>
      <c r="V4" s="21">
        <f>ICMS!$H$5*'Share_Make '!V4</f>
        <v>207779464.6830799</v>
      </c>
      <c r="W4" s="21">
        <f>ICMS!$H$5*'Share_Make '!W4</f>
        <v>71285337.8664601</v>
      </c>
      <c r="X4" s="21">
        <f>ICMS!$H$5*'Share_Make '!X4</f>
        <v>26684446.480835799</v>
      </c>
      <c r="Y4" s="21">
        <f>ICMS!$H$5*'Share_Make '!Y4</f>
        <v>35546604.554635741</v>
      </c>
      <c r="Z4" s="21">
        <f>ICMS!$H$5*'Share_Make '!Z4</f>
        <v>1277900856.5668008</v>
      </c>
      <c r="AA4" s="21">
        <f>ICMS!$H$5*'Share_Make '!AA4</f>
        <v>1034862000.7422738</v>
      </c>
      <c r="AB4" s="21">
        <f>ICMS!$H$5*'Share_Make '!AB4</f>
        <v>204026405.24582383</v>
      </c>
      <c r="AC4" s="21">
        <f>ICMS!$H$5*'Share_Make '!AC4</f>
        <v>138364365.68490511</v>
      </c>
      <c r="AD4" s="21">
        <f>ICMS!$H$5*'Share_Make '!AD4</f>
        <v>92814484.055775926</v>
      </c>
      <c r="AE4" s="21">
        <f>ICMS!$H$5*'Share_Make '!AE4</f>
        <v>47081342.737154409</v>
      </c>
      <c r="AF4" s="21">
        <f>ICMS!$H$5*'Share_Make '!AF4</f>
        <v>23386700.228221536</v>
      </c>
      <c r="AG4" s="21">
        <f>ICMS!$H$5*'Share_Make '!AG4</f>
        <v>832814016.36489141</v>
      </c>
      <c r="AH4" s="21">
        <f>ICMS!$H$5*'Share_Make '!AH4</f>
        <v>73580466.954615027</v>
      </c>
      <c r="AI4" s="21">
        <f>ICMS!$H$5*'Share_Make '!AI4</f>
        <v>159427679.56277654</v>
      </c>
      <c r="AJ4" s="21">
        <f>ICMS!$H$5*'Share_Make '!AJ4</f>
        <v>6342208.4324130323</v>
      </c>
      <c r="AK4" s="21">
        <f>ICMS!$H$5*'Share_Make '!AK4</f>
        <v>752795018.77753377</v>
      </c>
      <c r="AL4" s="21">
        <f>ICMS!$H$5*'Share_Make '!AL4</f>
        <v>52844999.195424594</v>
      </c>
      <c r="AM4" s="21">
        <f>ICMS!$H$5*'Share_Make '!AM4</f>
        <v>17235589.266055692</v>
      </c>
      <c r="AN4" s="21">
        <f>ICMS!$H$5*'Share_Make '!AN4</f>
        <v>35907554.984136626</v>
      </c>
      <c r="AO4" s="21">
        <f>ICMS!$H$5*'Share_Make '!AO4</f>
        <v>1157448604.3815303</v>
      </c>
      <c r="AP4" s="21">
        <f>ICMS!$H$5*'Share_Make '!AP4</f>
        <v>72584346.897886723</v>
      </c>
      <c r="AQ4" s="21">
        <f>ICMS!$H$5*'Share_Make '!AQ4</f>
        <v>354891412.46259201</v>
      </c>
      <c r="AR4" s="21">
        <f>ICMS!$H$5*'Share_Make '!AR4</f>
        <v>181622624.60148028</v>
      </c>
      <c r="AS4" s="21">
        <f>ICMS!$H$5*'Share_Make '!AS4</f>
        <v>138039510.29835436</v>
      </c>
      <c r="AT4" s="21">
        <f>ICMS!$H$5*'Share_Make '!AT4</f>
        <v>68903065.03175424</v>
      </c>
      <c r="AU4" s="21">
        <f>ICMS!$H$5*'Share_Make '!AU4</f>
        <v>2634731.8779681963</v>
      </c>
      <c r="AV4" s="21">
        <f>ICMS!$H$5*'Share_Make '!AV4</f>
        <v>10399600.646085443</v>
      </c>
      <c r="AW4" s="21">
        <f>ICMS!$H$5*'Share_Make '!AW4</f>
        <v>199162546.64395231</v>
      </c>
      <c r="AX4" s="21">
        <f>ICMS!$H$5*'Share_Make '!AX4</f>
        <v>63752714.917553142</v>
      </c>
      <c r="AY4" s="21">
        <f>ICMS!$H$5*'Share_Make '!AY4</f>
        <v>290234155.76870966</v>
      </c>
      <c r="AZ4" s="21">
        <f>ICMS!$H$5*'Share_Make '!AZ4</f>
        <v>25014896.05135297</v>
      </c>
      <c r="BA4" s="21">
        <f>ICMS!$H$5*'Share_Make '!BA4</f>
        <v>526455586.13821226</v>
      </c>
      <c r="BB4" s="21">
        <f>ICMS!$H$5*'Share_Make '!BB4</f>
        <v>51600338.985811383</v>
      </c>
      <c r="BC4" s="21">
        <f>ICMS!$H$5*'Share_Make '!BC4</f>
        <v>123000149.70277032</v>
      </c>
      <c r="BD4" s="21">
        <f>ICMS!$H$5*'Share_Make '!BD4</f>
        <v>84589558.183086261</v>
      </c>
      <c r="BE4" s="21">
        <f>ICMS!$H$5*'Share_Make '!BE4</f>
        <v>91127092.362206355</v>
      </c>
      <c r="BF4" s="21">
        <f>ICMS!$H$5*'Share_Make '!BF4</f>
        <v>124978054.92774105</v>
      </c>
      <c r="BG4" s="21">
        <f>ICMS!$H$5*'Share_Make '!BG4</f>
        <v>704227694.68647122</v>
      </c>
      <c r="BH4" s="21">
        <f>ICMS!$H$5*'Share_Make '!BH4</f>
        <v>37306495.720187932</v>
      </c>
      <c r="BI4" s="21">
        <f>ICMS!$H$5*'Share_Make '!BI4</f>
        <v>724390282.54969668</v>
      </c>
      <c r="BJ4" s="21">
        <f>ICMS!$H$5*'Share_Make '!BJ4</f>
        <v>215726458.72505391</v>
      </c>
      <c r="BK4" s="21">
        <f>ICMS!$H$5*'Share_Make '!BK4</f>
        <v>945055471.30857003</v>
      </c>
      <c r="BL4" s="21">
        <f>ICMS!$H$5*'Share_Make '!BL4</f>
        <v>2023714269.0082343</v>
      </c>
      <c r="BM4" s="21">
        <f>ICMS!$H$5*'Share_Make '!BM4</f>
        <v>69246999.22672151</v>
      </c>
      <c r="BN4" s="21">
        <f>ICMS!$H$5*'Share_Make '!BN4</f>
        <v>326343842.99336678</v>
      </c>
      <c r="BO4" s="21">
        <f>ICMS!$H$5*'Share_Make '!BO4</f>
        <v>34251308.156198271</v>
      </c>
      <c r="BP4" s="19">
        <f t="array" ref="BP4">SUM(B4:BO4)</f>
        <v>24231303195.000019</v>
      </c>
    </row>
    <row r="5" spans="1:68" x14ac:dyDescent="0.3">
      <c r="A5" t="s">
        <v>325</v>
      </c>
      <c r="B5" s="21">
        <f>ICMS!$H$6*'Share_Make '!B7</f>
        <v>6991194.5741725015</v>
      </c>
      <c r="C5" s="21">
        <f>ICMS!$H$6*'Share_Make '!C7</f>
        <v>26940737.661254663</v>
      </c>
      <c r="D5" s="21">
        <f>ICMS!$H$6*'Share_Make '!D7</f>
        <v>6879879.8757169312</v>
      </c>
      <c r="E5" s="21">
        <f>ICMS!$H$6*'Share_Make '!E7</f>
        <v>3486425.4869487928</v>
      </c>
      <c r="F5" s="21">
        <f>ICMS!$H$6*'Share_Make '!F7</f>
        <v>4453704.559139125</v>
      </c>
      <c r="G5" s="21">
        <f>ICMS!$H$6*'Share_Make '!G7</f>
        <v>43343979.566476472</v>
      </c>
      <c r="H5" s="21">
        <f>ICMS!$H$6*'Share_Make '!H7</f>
        <v>18678654.787751142</v>
      </c>
      <c r="I5" s="21">
        <f>ICMS!$H$6*'Share_Make '!I7</f>
        <v>893575789.01011539</v>
      </c>
      <c r="J5" s="21">
        <f>ICMS!$H$6*'Share_Make '!J7</f>
        <v>3459775.4677465442</v>
      </c>
      <c r="K5" s="21">
        <f>ICMS!$H$6*'Share_Make '!K7</f>
        <v>18584331.337571867</v>
      </c>
      <c r="L5" s="21">
        <f>ICMS!$H$6*'Share_Make '!L7</f>
        <v>8071159.3071656348</v>
      </c>
      <c r="M5" s="21">
        <f>ICMS!$H$6*'Share_Make '!M7</f>
        <v>7252155.085760247</v>
      </c>
      <c r="N5" s="21">
        <f>ICMS!$H$6*'Share_Make '!N7</f>
        <v>14733105.7972694</v>
      </c>
      <c r="O5" s="21">
        <f>ICMS!$H$6*'Share_Make '!O7</f>
        <v>21294860.373933803</v>
      </c>
      <c r="P5" s="21">
        <f>ICMS!$H$6*'Share_Make '!P7</f>
        <v>6231476.7199728601</v>
      </c>
      <c r="Q5" s="21">
        <f>ICMS!$H$6*'Share_Make '!Q7</f>
        <v>40363823.799526431</v>
      </c>
      <c r="R5" s="21">
        <f>ICMS!$H$6*'Share_Make '!R7</f>
        <v>11670251.844568621</v>
      </c>
      <c r="S5" s="21">
        <f>ICMS!$H$6*'Share_Make '!S7</f>
        <v>5610108.1973022046</v>
      </c>
      <c r="T5" s="21">
        <f>ICMS!$H$6*'Share_Make '!T7</f>
        <v>63191686.82599251</v>
      </c>
      <c r="U5" s="21">
        <f>ICMS!$H$6*'Share_Make '!U7</f>
        <v>17029988.818639282</v>
      </c>
      <c r="V5" s="21">
        <f>ICMS!$H$6*'Share_Make '!V7</f>
        <v>26547550.622828953</v>
      </c>
      <c r="W5" s="21">
        <f>ICMS!$H$6*'Share_Make '!W7</f>
        <v>40739275.175731651</v>
      </c>
      <c r="X5" s="21">
        <f>ICMS!$H$6*'Share_Make '!X7</f>
        <v>676312.47520191898</v>
      </c>
      <c r="Y5" s="21">
        <f>ICMS!$H$6*'Share_Make '!Y7</f>
        <v>6959712.067782511</v>
      </c>
      <c r="Z5" s="21">
        <f>ICMS!$H$6*'Share_Make '!Z7</f>
        <v>75433177.117539659</v>
      </c>
      <c r="AA5" s="21">
        <f>ICMS!$H$6*'Share_Make '!AA7</f>
        <v>57046810.261527881</v>
      </c>
      <c r="AB5" s="21">
        <f>ICMS!$H$6*'Share_Make '!AB7</f>
        <v>8503322.6190195866</v>
      </c>
      <c r="AC5" s="21">
        <f>ICMS!$H$6*'Share_Make '!AC7</f>
        <v>19984536.74590895</v>
      </c>
      <c r="AD5" s="21">
        <f>ICMS!$H$6*'Share_Make '!AD7</f>
        <v>18480206.437127329</v>
      </c>
      <c r="AE5" s="21">
        <f>ICMS!$H$6*'Share_Make '!AE7</f>
        <v>11578049.974130305</v>
      </c>
      <c r="AF5" s="21">
        <f>ICMS!$H$6*'Share_Make '!AF7</f>
        <v>13089985.712041806</v>
      </c>
      <c r="AG5" s="21">
        <f>ICMS!$H$6*'Share_Make '!AG7</f>
        <v>102139591.87950976</v>
      </c>
      <c r="AH5" s="21">
        <f>ICMS!$H$6*'Share_Make '!AH7</f>
        <v>17693863.377523579</v>
      </c>
      <c r="AI5" s="21">
        <f>ICMS!$H$6*'Share_Make '!AI7</f>
        <v>22172301.089958642</v>
      </c>
      <c r="AJ5" s="21">
        <f>ICMS!$H$6*'Share_Make '!AJ7</f>
        <v>3067345.250164099</v>
      </c>
      <c r="AK5" s="21">
        <f>ICMS!$H$6*'Share_Make '!AK7</f>
        <v>52905070.976053052</v>
      </c>
      <c r="AL5" s="21">
        <f>ICMS!$H$6*'Share_Make '!AL7</f>
        <v>22609613.264926624</v>
      </c>
      <c r="AM5" s="21">
        <f>ICMS!$H$6*'Share_Make '!AM7</f>
        <v>9419218.5187117308</v>
      </c>
      <c r="AN5" s="21">
        <f>ICMS!$H$6*'Share_Make '!AN7</f>
        <v>9915395.2263170797</v>
      </c>
      <c r="AO5" s="21">
        <f>ICMS!$H$6*'Share_Make '!AO7</f>
        <v>44777832.485091254</v>
      </c>
      <c r="AP5" s="21">
        <f>ICMS!$H$6*'Share_Make '!AP7</f>
        <v>17560805.588447925</v>
      </c>
      <c r="AQ5" s="21">
        <f>ICMS!$H$6*'Share_Make '!AQ7</f>
        <v>25735928.506370187</v>
      </c>
      <c r="AR5" s="21">
        <f>ICMS!$H$6*'Share_Make '!AR7</f>
        <v>23716469.951653868</v>
      </c>
      <c r="AS5" s="21">
        <f>ICMS!$H$6*'Share_Make '!AS7</f>
        <v>33225985.881796684</v>
      </c>
      <c r="AT5" s="21">
        <f>ICMS!$H$6*'Share_Make '!AT7</f>
        <v>25374875.33653564</v>
      </c>
      <c r="AU5" s="21">
        <f>ICMS!$H$6*'Share_Make '!AU7</f>
        <v>2590120.0808880962</v>
      </c>
      <c r="AV5" s="21">
        <f>ICMS!$H$6*'Share_Make '!AV7</f>
        <v>4386508.7937762877</v>
      </c>
      <c r="AW5" s="21">
        <f>ICMS!$H$6*'Share_Make '!AW7</f>
        <v>11045061.996984424</v>
      </c>
      <c r="AX5" s="21">
        <f>ICMS!$H$6*'Share_Make '!AX7</f>
        <v>9407996.4785029646</v>
      </c>
      <c r="AY5" s="21">
        <f>ICMS!$H$6*'Share_Make '!AY7</f>
        <v>48876426.779050335</v>
      </c>
      <c r="AZ5" s="21">
        <f>ICMS!$H$6*'Share_Make '!AZ7</f>
        <v>12296880.892444937</v>
      </c>
      <c r="BA5" s="21">
        <f>ICMS!$H$6*'Share_Make '!BA7</f>
        <v>86383977.698840156</v>
      </c>
      <c r="BB5" s="21">
        <f>ICMS!$H$6*'Share_Make '!BB7</f>
        <v>8431536.3010008708</v>
      </c>
      <c r="BC5" s="21">
        <f>ICMS!$H$6*'Share_Make '!BC7</f>
        <v>15084760.741058461</v>
      </c>
      <c r="BD5" s="21">
        <f>ICMS!$H$6*'Share_Make '!BD7</f>
        <v>20097563.596436173</v>
      </c>
      <c r="BE5" s="21">
        <f>ICMS!$H$6*'Share_Make '!BE7</f>
        <v>18420336.945665296</v>
      </c>
      <c r="BF5" s="21">
        <f>ICMS!$H$6*'Share_Make '!BF7</f>
        <v>33447114.043920361</v>
      </c>
      <c r="BG5" s="21">
        <f>ICMS!$H$6*'Share_Make '!BG7</f>
        <v>53819527.675453089</v>
      </c>
      <c r="BH5" s="21">
        <f>ICMS!$H$6*'Share_Make '!BH7</f>
        <v>16958773.217977781</v>
      </c>
      <c r="BI5" s="21">
        <f>ICMS!$H$6*'Share_Make '!BI7</f>
        <v>11974047.175195361</v>
      </c>
      <c r="BJ5" s="21">
        <f>ICMS!$H$6*'Share_Make '!BJ7</f>
        <v>25433063.693173692</v>
      </c>
      <c r="BK5" s="21">
        <f>ICMS!$H$6*'Share_Make '!BK7</f>
        <v>77550488.885220647</v>
      </c>
      <c r="BL5" s="21">
        <f>ICMS!$H$6*'Share_Make '!BL7</f>
        <v>193109202.89874935</v>
      </c>
      <c r="BM5" s="21">
        <f>ICMS!$H$6*'Share_Make '!BM7</f>
        <v>17916554.808930069</v>
      </c>
      <c r="BN5" s="21">
        <f>ICMS!$H$6*'Share_Make '!BN7</f>
        <v>54324227.922719486</v>
      </c>
      <c r="BO5" s="21">
        <f>ICMS!$H$6*'Share_Make '!BO7</f>
        <v>15615980.735086879</v>
      </c>
      <c r="BP5" s="19">
        <f t="array" ref="BP5">SUM(B5:BO5)</f>
        <v>2648366477</v>
      </c>
    </row>
    <row r="6" spans="1:68" x14ac:dyDescent="0.3">
      <c r="A6" t="s">
        <v>326</v>
      </c>
      <c r="B6" s="21">
        <f>ICMS!$H$7*'Share_Make '!B8</f>
        <v>49222628.772242159</v>
      </c>
      <c r="C6" s="21">
        <f>ICMS!$H$7*'Share_Make '!C8</f>
        <v>164090136.08684364</v>
      </c>
      <c r="D6" s="21">
        <f>ICMS!$H$7*'Share_Make '!D8</f>
        <v>39039148.552034155</v>
      </c>
      <c r="E6" s="21">
        <f>ICMS!$H$7*'Share_Make '!E8</f>
        <v>26665114.980007924</v>
      </c>
      <c r="F6" s="21">
        <f>ICMS!$H$7*'Share_Make '!F8</f>
        <v>31225213.06099797</v>
      </c>
      <c r="G6" s="21">
        <f>ICMS!$H$7*'Share_Make '!G8</f>
        <v>230857892.77919003</v>
      </c>
      <c r="H6" s="21">
        <f>ICMS!$H$7*'Share_Make '!H8</f>
        <v>124402771.09813172</v>
      </c>
      <c r="I6" s="21">
        <f>ICMS!$H$7*'Share_Make '!I8</f>
        <v>6066384125.351531</v>
      </c>
      <c r="J6" s="21">
        <f>ICMS!$H$7*'Share_Make '!J8</f>
        <v>21891732.781143248</v>
      </c>
      <c r="K6" s="21">
        <f>ICMS!$H$7*'Share_Make '!K8</f>
        <v>125695858.33826572</v>
      </c>
      <c r="L6" s="21">
        <f>ICMS!$H$7*'Share_Make '!L8</f>
        <v>56566502.795648776</v>
      </c>
      <c r="M6" s="21">
        <f>ICMS!$H$7*'Share_Make '!M8</f>
        <v>48350464.01179602</v>
      </c>
      <c r="N6" s="21">
        <f>ICMS!$H$7*'Share_Make '!N8</f>
        <v>92122847.164036095</v>
      </c>
      <c r="O6" s="21">
        <f>ICMS!$H$7*'Share_Make '!O8</f>
        <v>135903803.50140643</v>
      </c>
      <c r="P6" s="21">
        <f>ICMS!$H$7*'Share_Make '!P8</f>
        <v>30996246.287397273</v>
      </c>
      <c r="Q6" s="21">
        <f>ICMS!$H$7*'Share_Make '!Q8</f>
        <v>202414155.53776875</v>
      </c>
      <c r="R6" s="21">
        <f>ICMS!$H$7*'Share_Make '!R8</f>
        <v>70650573.14804627</v>
      </c>
      <c r="S6" s="21">
        <f>ICMS!$H$7*'Share_Make '!S8</f>
        <v>34030317.415201999</v>
      </c>
      <c r="T6" s="21">
        <f>ICMS!$H$7*'Share_Make '!T8</f>
        <v>384445667.97939545</v>
      </c>
      <c r="U6" s="21">
        <f>ICMS!$H$7*'Share_Make '!U8</f>
        <v>104676499.41964497</v>
      </c>
      <c r="V6" s="21">
        <f>ICMS!$H$7*'Share_Make '!V8</f>
        <v>134655464.10561082</v>
      </c>
      <c r="W6" s="21">
        <f>ICMS!$H$7*'Share_Make '!W8</f>
        <v>255131507.31200957</v>
      </c>
      <c r="X6" s="21">
        <f>ICMS!$H$7*'Share_Make '!X8</f>
        <v>5637391.9783332571</v>
      </c>
      <c r="Y6" s="21">
        <f>ICMS!$H$7*'Share_Make '!Y8</f>
        <v>44650193.668747596</v>
      </c>
      <c r="Z6" s="21">
        <f>ICMS!$H$7*'Share_Make '!Z8</f>
        <v>421353229.96514142</v>
      </c>
      <c r="AA6" s="21">
        <f>ICMS!$H$7*'Share_Make '!AA8</f>
        <v>285450471.97411674</v>
      </c>
      <c r="AB6" s="21">
        <f>ICMS!$H$7*'Share_Make '!AB8</f>
        <v>40524400.600331672</v>
      </c>
      <c r="AC6" s="21">
        <f>ICMS!$H$7*'Share_Make '!AC8</f>
        <v>118589106.06943737</v>
      </c>
      <c r="AD6" s="21">
        <f>ICMS!$H$7*'Share_Make '!AD8</f>
        <v>122307150.08897536</v>
      </c>
      <c r="AE6" s="21">
        <f>ICMS!$H$7*'Share_Make '!AE8</f>
        <v>73287768.534943119</v>
      </c>
      <c r="AF6" s="21">
        <f>ICMS!$H$7*'Share_Make '!AF8</f>
        <v>57033009.527980432</v>
      </c>
      <c r="AG6" s="21">
        <f>ICMS!$H$7*'Share_Make '!AG8</f>
        <v>641579954.97866309</v>
      </c>
      <c r="AH6" s="21">
        <f>ICMS!$H$7*'Share_Make '!AH8</f>
        <v>104031001.30995971</v>
      </c>
      <c r="AI6" s="21">
        <f>ICMS!$H$7*'Share_Make '!AI8</f>
        <v>144792941.86902234</v>
      </c>
      <c r="AJ6" s="21">
        <f>ICMS!$H$7*'Share_Make '!AJ8</f>
        <v>19948547.185644325</v>
      </c>
      <c r="AK6" s="21">
        <f>ICMS!$H$7*'Share_Make '!AK8</f>
        <v>346162214.33128178</v>
      </c>
      <c r="AL6" s="21">
        <f>ICMS!$H$7*'Share_Make '!AL8</f>
        <v>145441785.61192918</v>
      </c>
      <c r="AM6" s="21">
        <f>ICMS!$H$7*'Share_Make '!AM8</f>
        <v>41859099.153658867</v>
      </c>
      <c r="AN6" s="21">
        <f>ICMS!$H$7*'Share_Make '!AN8</f>
        <v>65014017.578018412</v>
      </c>
      <c r="AO6" s="21">
        <f>ICMS!$H$7*'Share_Make '!AO8</f>
        <v>214348447.44323584</v>
      </c>
      <c r="AP6" s="21">
        <f>ICMS!$H$7*'Share_Make '!AP8</f>
        <v>96263486.479872704</v>
      </c>
      <c r="AQ6" s="21">
        <f>ICMS!$H$7*'Share_Make '!AQ8</f>
        <v>147141576.39055941</v>
      </c>
      <c r="AR6" s="21">
        <f>ICMS!$H$7*'Share_Make '!AR8</f>
        <v>145876090.62450325</v>
      </c>
      <c r="AS6" s="21">
        <f>ICMS!$H$7*'Share_Make '!AS8</f>
        <v>213514757.46483764</v>
      </c>
      <c r="AT6" s="21">
        <f>ICMS!$H$7*'Share_Make '!AT8</f>
        <v>161711599.96838889</v>
      </c>
      <c r="AU6" s="21">
        <f>ICMS!$H$7*'Share_Make '!AU8</f>
        <v>14523393.814803958</v>
      </c>
      <c r="AV6" s="21">
        <f>ICMS!$H$7*'Share_Make '!AV8</f>
        <v>27106529.46317786</v>
      </c>
      <c r="AW6" s="21">
        <f>ICMS!$H$7*'Share_Make '!AW8</f>
        <v>69152356.771015197</v>
      </c>
      <c r="AX6" s="21">
        <f>ICMS!$H$7*'Share_Make '!AX8</f>
        <v>56568593.816412255</v>
      </c>
      <c r="AY6" s="21">
        <f>ICMS!$H$7*'Share_Make '!AY8</f>
        <v>330414318.75738579</v>
      </c>
      <c r="AZ6" s="21">
        <f>ICMS!$H$7*'Share_Make '!AZ8</f>
        <v>84746353.21671924</v>
      </c>
      <c r="BA6" s="21">
        <f>ICMS!$H$7*'Share_Make '!BA8</f>
        <v>509618980.22886831</v>
      </c>
      <c r="BB6" s="21">
        <f>ICMS!$H$7*'Share_Make '!BB8</f>
        <v>55290980.12992797</v>
      </c>
      <c r="BC6" s="21">
        <f>ICMS!$H$7*'Share_Make '!BC8</f>
        <v>95164445.966589347</v>
      </c>
      <c r="BD6" s="21">
        <f>ICMS!$H$7*'Share_Make '!BD8</f>
        <v>101864076.49276876</v>
      </c>
      <c r="BE6" s="21">
        <f>ICMS!$H$7*'Share_Make '!BE8</f>
        <v>121833952.09020057</v>
      </c>
      <c r="BF6" s="21">
        <f>ICMS!$H$7*'Share_Make '!BF8</f>
        <v>214165901.33058435</v>
      </c>
      <c r="BG6" s="21">
        <f>ICMS!$H$7*'Share_Make '!BG8</f>
        <v>291466756.91479194</v>
      </c>
      <c r="BH6" s="21">
        <f>ICMS!$H$7*'Share_Make '!BH8</f>
        <v>112308097.90010597</v>
      </c>
      <c r="BI6" s="21">
        <f>ICMS!$H$7*'Share_Make '!BI8</f>
        <v>57655924.613420144</v>
      </c>
      <c r="BJ6" s="21">
        <f>ICMS!$H$7*'Share_Make '!BJ8</f>
        <v>143490863.2396054</v>
      </c>
      <c r="BK6" s="21">
        <f>ICMS!$H$7*'Share_Make '!BK8</f>
        <v>433806722.3261798</v>
      </c>
      <c r="BL6" s="21">
        <f>ICMS!$H$7*'Share_Make '!BL8</f>
        <v>1131293672.1516912</v>
      </c>
      <c r="BM6" s="21">
        <f>ICMS!$H$7*'Share_Make '!BM8</f>
        <v>103869992.711172</v>
      </c>
      <c r="BN6" s="21">
        <f>ICMS!$H$7*'Share_Make '!BN8</f>
        <v>365222077.69244856</v>
      </c>
      <c r="BO6" s="21">
        <f>ICMS!$H$7*'Share_Make '!BO8</f>
        <v>90162306.096200317</v>
      </c>
      <c r="BP6" s="19">
        <f t="array" ref="BP6">SUM(B6:BO6)</f>
        <v>16495663209.000004</v>
      </c>
    </row>
    <row r="7" spans="1:68" x14ac:dyDescent="0.3">
      <c r="A7" t="s">
        <v>327</v>
      </c>
      <c r="B7" s="21">
        <f>ICMS!$H$8*'Share_Make '!B9</f>
        <v>2518530.472014511</v>
      </c>
      <c r="C7" s="21">
        <f>ICMS!$H$8*'Share_Make '!C9</f>
        <v>7396587.9230748694</v>
      </c>
      <c r="D7" s="21">
        <f>ICMS!$H$8*'Share_Make '!D9</f>
        <v>574184.98289372481</v>
      </c>
      <c r="E7" s="21">
        <f>ICMS!$H$8*'Share_Make '!E9</f>
        <v>1284414.2713702784</v>
      </c>
      <c r="F7" s="21">
        <f>ICMS!$H$8*'Share_Make '!F9</f>
        <v>1139371.0592561911</v>
      </c>
      <c r="G7" s="21">
        <f>ICMS!$H$8*'Share_Make '!G9</f>
        <v>12576365.365742216</v>
      </c>
      <c r="H7" s="21">
        <f>ICMS!$H$8*'Share_Make '!H9</f>
        <v>4595840.7930002054</v>
      </c>
      <c r="I7" s="21">
        <f>ICMS!$H$8*'Share_Make '!I9</f>
        <v>235695561.84913838</v>
      </c>
      <c r="J7" s="21">
        <f>ICMS!$H$8*'Share_Make '!J9</f>
        <v>1669143.1878625639</v>
      </c>
      <c r="K7" s="21">
        <f>ICMS!$H$8*'Share_Make '!K9</f>
        <v>11364216.077619154</v>
      </c>
      <c r="L7" s="21">
        <f>ICMS!$H$8*'Share_Make '!L9</f>
        <v>5143576.5182944508</v>
      </c>
      <c r="M7" s="21">
        <f>ICMS!$H$8*'Share_Make '!M9</f>
        <v>3614378.302724083</v>
      </c>
      <c r="N7" s="21">
        <f>ICMS!$H$8*'Share_Make '!N9</f>
        <v>2285653.8261903827</v>
      </c>
      <c r="O7" s="21">
        <f>ICMS!$H$8*'Share_Make '!O9</f>
        <v>9792692.2066146936</v>
      </c>
      <c r="P7" s="21">
        <f>ICMS!$H$8*'Share_Make '!P9</f>
        <v>291044.4827181946</v>
      </c>
      <c r="Q7" s="21">
        <f>ICMS!$H$8*'Share_Make '!Q9</f>
        <v>10773812.533144377</v>
      </c>
      <c r="R7" s="21">
        <f>ICMS!$H$8*'Share_Make '!R9</f>
        <v>3414486.2420563549</v>
      </c>
      <c r="S7" s="21">
        <f>ICMS!$H$8*'Share_Make '!S9</f>
        <v>727611.20679548651</v>
      </c>
      <c r="T7" s="21">
        <f>ICMS!$H$8*'Share_Make '!T9</f>
        <v>19886420.077343501</v>
      </c>
      <c r="U7" s="21">
        <f>ICMS!$H$8*'Share_Make '!U9</f>
        <v>8908609.518574167</v>
      </c>
      <c r="V7" s="21">
        <f>ICMS!$H$8*'Share_Make '!V9</f>
        <v>11470184.189890288</v>
      </c>
      <c r="W7" s="21">
        <f>ICMS!$H$8*'Share_Make '!W9</f>
        <v>11951026.902756358</v>
      </c>
      <c r="X7" s="21">
        <f>ICMS!$H$8*'Share_Make '!X9</f>
        <v>77089.492071960078</v>
      </c>
      <c r="Y7" s="21">
        <f>ICMS!$H$8*'Share_Make '!Y9</f>
        <v>2953112.6463624761</v>
      </c>
      <c r="Z7" s="21">
        <f>ICMS!$H$8*'Share_Make '!Z9</f>
        <v>26140762.765692119</v>
      </c>
      <c r="AA7" s="21">
        <f>ICMS!$H$8*'Share_Make '!AA9</f>
        <v>15004496.175948417</v>
      </c>
      <c r="AB7" s="21">
        <f>ICMS!$H$8*'Share_Make '!AB9</f>
        <v>3268656.0533254649</v>
      </c>
      <c r="AC7" s="21">
        <f>ICMS!$H$8*'Share_Make '!AC9</f>
        <v>4769865.2744373949</v>
      </c>
      <c r="AD7" s="21">
        <f>ICMS!$H$8*'Share_Make '!AD9</f>
        <v>4403818.498500498</v>
      </c>
      <c r="AE7" s="21">
        <f>ICMS!$H$8*'Share_Make '!AE9</f>
        <v>2809506.5219834181</v>
      </c>
      <c r="AF7" s="21">
        <f>ICMS!$H$8*'Share_Make '!AF9</f>
        <v>822493.21368210216</v>
      </c>
      <c r="AG7" s="21">
        <f>ICMS!$H$8*'Share_Make '!AG9</f>
        <v>42859157.147536896</v>
      </c>
      <c r="AH7" s="21">
        <f>ICMS!$H$8*'Share_Make '!AH9</f>
        <v>9020599.7127825674</v>
      </c>
      <c r="AI7" s="21">
        <f>ICMS!$H$8*'Share_Make '!AI9</f>
        <v>6043569.8205442354</v>
      </c>
      <c r="AJ7" s="21">
        <f>ICMS!$H$8*'Share_Make '!AJ9</f>
        <v>556768.84820014832</v>
      </c>
      <c r="AK7" s="21">
        <f>ICMS!$H$8*'Share_Make '!AK9</f>
        <v>11804820.333904387</v>
      </c>
      <c r="AL7" s="21">
        <f>ICMS!$H$8*'Share_Make '!AL9</f>
        <v>8072190.2404121319</v>
      </c>
      <c r="AM7" s="21">
        <f>ICMS!$H$8*'Share_Make '!AM9</f>
        <v>1371186.9974663684</v>
      </c>
      <c r="AN7" s="21">
        <f>ICMS!$H$8*'Share_Make '!AN9</f>
        <v>4338465.2229312817</v>
      </c>
      <c r="AO7" s="21">
        <f>ICMS!$H$8*'Share_Make '!AO9</f>
        <v>10972062.207829215</v>
      </c>
      <c r="AP7" s="21">
        <f>ICMS!$H$8*'Share_Make '!AP9</f>
        <v>8213127.4875689913</v>
      </c>
      <c r="AQ7" s="21">
        <f>ICMS!$H$8*'Share_Make '!AQ9</f>
        <v>9300831.8211133946</v>
      </c>
      <c r="AR7" s="21">
        <f>ICMS!$H$8*'Share_Make '!AR9</f>
        <v>8457500.8352733571</v>
      </c>
      <c r="AS7" s="21">
        <f>ICMS!$H$8*'Share_Make '!AS9</f>
        <v>14562317.966429582</v>
      </c>
      <c r="AT7" s="21">
        <f>ICMS!$H$8*'Share_Make '!AT9</f>
        <v>9494633.367094567</v>
      </c>
      <c r="AU7" s="21">
        <f>ICMS!$H$8*'Share_Make '!AU9</f>
        <v>119859.96037642084</v>
      </c>
      <c r="AV7" s="21">
        <f>ICMS!$H$8*'Share_Make '!AV9</f>
        <v>1482150.7004354615</v>
      </c>
      <c r="AW7" s="21">
        <f>ICMS!$H$8*'Share_Make '!AW9</f>
        <v>3210727.7310539042</v>
      </c>
      <c r="AX7" s="21">
        <f>ICMS!$H$8*'Share_Make '!AX9</f>
        <v>2370818.3826782252</v>
      </c>
      <c r="AY7" s="21">
        <f>ICMS!$H$8*'Share_Make '!AY9</f>
        <v>21110442.447467882</v>
      </c>
      <c r="AZ7" s="21">
        <f>ICMS!$H$8*'Share_Make '!AZ9</f>
        <v>4485082.3882789733</v>
      </c>
      <c r="BA7" s="21">
        <f>ICMS!$H$8*'Share_Make '!BA9</f>
        <v>26119890.777159542</v>
      </c>
      <c r="BB7" s="21">
        <f>ICMS!$H$8*'Share_Make '!BB9</f>
        <v>3537562.5416492713</v>
      </c>
      <c r="BC7" s="21">
        <f>ICMS!$H$8*'Share_Make '!BC9</f>
        <v>4794569.4969300516</v>
      </c>
      <c r="BD7" s="21">
        <f>ICMS!$H$8*'Share_Make '!BD9</f>
        <v>3483329.5878392146</v>
      </c>
      <c r="BE7" s="21">
        <f>ICMS!$H$8*'Share_Make '!BE9</f>
        <v>6798656.7761785081</v>
      </c>
      <c r="BF7" s="21">
        <f>ICMS!$H$8*'Share_Make '!BF9</f>
        <v>13389585.941895911</v>
      </c>
      <c r="BG7" s="21">
        <f>ICMS!$H$8*'Share_Make '!BG9</f>
        <v>17224146.615451358</v>
      </c>
      <c r="BH7" s="21">
        <f>ICMS!$H$8*'Share_Make '!BH9</f>
        <v>7074132.8084338792</v>
      </c>
      <c r="BI7" s="21">
        <f>ICMS!$H$8*'Share_Make '!BI9</f>
        <v>2122852.3156362837</v>
      </c>
      <c r="BJ7" s="21">
        <f>ICMS!$H$8*'Share_Make '!BJ9</f>
        <v>12026953.038090436</v>
      </c>
      <c r="BK7" s="21">
        <f>ICMS!$H$8*'Share_Make '!BK9</f>
        <v>23685703.668641426</v>
      </c>
      <c r="BL7" s="21">
        <f>ICMS!$H$8*'Share_Make '!BL9</f>
        <v>64238369.217830002</v>
      </c>
      <c r="BM7" s="21">
        <f>ICMS!$H$8*'Share_Make '!BM9</f>
        <v>7247712.4770007022</v>
      </c>
      <c r="BN7" s="21">
        <f>ICMS!$H$8*'Share_Make '!BN9</f>
        <v>16828536.89182242</v>
      </c>
      <c r="BO7" s="21">
        <f>ICMS!$H$8*'Share_Make '!BO9</f>
        <v>2533414.5949844634</v>
      </c>
      <c r="BP7" s="19">
        <f t="array" ref="BP7">SUM(B7:BO7)</f>
        <v>816275243</v>
      </c>
    </row>
    <row r="8" spans="1:68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6A185-4EC7-402F-984B-24294ACFB5F9}">
  <dimension ref="A1:BP9"/>
  <sheetViews>
    <sheetView workbookViewId="0">
      <selection activeCell="B2" sqref="B2"/>
    </sheetView>
  </sheetViews>
  <sheetFormatPr defaultRowHeight="14.4" x14ac:dyDescent="0.3"/>
  <cols>
    <col min="1" max="1" width="12.5546875" bestFit="1" customWidth="1"/>
    <col min="2" max="2" width="17" bestFit="1" customWidth="1"/>
    <col min="3" max="3" width="18.5546875" bestFit="1" customWidth="1"/>
    <col min="4" max="6" width="17" bestFit="1" customWidth="1"/>
    <col min="7" max="7" width="18.5546875" bestFit="1" customWidth="1"/>
    <col min="8" max="8" width="17" bestFit="1" customWidth="1"/>
    <col min="9" max="9" width="19.5546875" bestFit="1" customWidth="1"/>
    <col min="10" max="11" width="18.5546875" bestFit="1" customWidth="1"/>
    <col min="12" max="16" width="17" bestFit="1" customWidth="1"/>
    <col min="17" max="17" width="18.5546875" bestFit="1" customWidth="1"/>
    <col min="18" max="19" width="17" bestFit="1" customWidth="1"/>
    <col min="20" max="20" width="18.5546875" bestFit="1" customWidth="1"/>
    <col min="21" max="21" width="17" bestFit="1" customWidth="1"/>
    <col min="22" max="23" width="18.5546875" bestFit="1" customWidth="1"/>
    <col min="24" max="25" width="17" bestFit="1" customWidth="1"/>
    <col min="26" max="28" width="18.5546875" bestFit="1" customWidth="1"/>
    <col min="29" max="32" width="17" bestFit="1" customWidth="1"/>
    <col min="33" max="33" width="18.5546875" bestFit="1" customWidth="1"/>
    <col min="34" max="34" width="17" bestFit="1" customWidth="1"/>
    <col min="35" max="35" width="18.5546875" bestFit="1" customWidth="1"/>
    <col min="36" max="36" width="17" bestFit="1" customWidth="1"/>
    <col min="37" max="37" width="18.5546875" bestFit="1" customWidth="1"/>
    <col min="38" max="40" width="17" bestFit="1" customWidth="1"/>
    <col min="41" max="41" width="18.5546875" bestFit="1" customWidth="1"/>
    <col min="42" max="43" width="17" bestFit="1" customWidth="1"/>
    <col min="44" max="46" width="18.5546875" bestFit="1" customWidth="1"/>
    <col min="47" max="48" width="17" bestFit="1" customWidth="1"/>
    <col min="49" max="49" width="18.5546875" bestFit="1" customWidth="1"/>
    <col min="50" max="50" width="17" bestFit="1" customWidth="1"/>
    <col min="51" max="51" width="18.5546875" bestFit="1" customWidth="1"/>
    <col min="52" max="52" width="17" bestFit="1" customWidth="1"/>
    <col min="53" max="53" width="18.5546875" bestFit="1" customWidth="1"/>
    <col min="54" max="57" width="17" bestFit="1" customWidth="1"/>
    <col min="58" max="59" width="18.5546875" bestFit="1" customWidth="1"/>
    <col min="60" max="60" width="17" bestFit="1" customWidth="1"/>
    <col min="61" max="64" width="18.5546875" bestFit="1" customWidth="1"/>
    <col min="65" max="65" width="17" bestFit="1" customWidth="1"/>
    <col min="66" max="66" width="18.5546875" bestFit="1" customWidth="1"/>
    <col min="67" max="67" width="17" bestFit="1" customWidth="1"/>
    <col min="68" max="68" width="19.77734375" bestFit="1" customWidth="1"/>
  </cols>
  <sheetData>
    <row r="1" spans="1:68" x14ac:dyDescent="0.3">
      <c r="A1" t="s">
        <v>331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269</v>
      </c>
      <c r="P1" t="s">
        <v>270</v>
      </c>
      <c r="Q1" t="s">
        <v>271</v>
      </c>
      <c r="R1" t="s">
        <v>272</v>
      </c>
      <c r="S1" t="s">
        <v>273</v>
      </c>
      <c r="T1" t="s">
        <v>274</v>
      </c>
      <c r="U1" t="s">
        <v>275</v>
      </c>
      <c r="V1" t="s">
        <v>276</v>
      </c>
      <c r="W1" t="s">
        <v>277</v>
      </c>
      <c r="X1" t="s">
        <v>278</v>
      </c>
      <c r="Y1" t="s">
        <v>279</v>
      </c>
      <c r="Z1" t="s">
        <v>280</v>
      </c>
      <c r="AA1" t="s">
        <v>281</v>
      </c>
      <c r="AB1" t="s">
        <v>282</v>
      </c>
      <c r="AC1" t="s">
        <v>283</v>
      </c>
      <c r="AD1" t="s">
        <v>284</v>
      </c>
      <c r="AE1" t="s">
        <v>285</v>
      </c>
      <c r="AF1" t="s">
        <v>286</v>
      </c>
      <c r="AG1" t="s">
        <v>287</v>
      </c>
      <c r="AH1" t="s">
        <v>288</v>
      </c>
      <c r="AI1" t="s">
        <v>289</v>
      </c>
      <c r="AJ1" t="s">
        <v>290</v>
      </c>
      <c r="AK1" t="s">
        <v>291</v>
      </c>
      <c r="AL1" t="s">
        <v>292</v>
      </c>
      <c r="AM1" t="s">
        <v>293</v>
      </c>
      <c r="AN1" t="s">
        <v>294</v>
      </c>
      <c r="AO1" t="s">
        <v>295</v>
      </c>
      <c r="AP1" t="s">
        <v>296</v>
      </c>
      <c r="AQ1" t="s">
        <v>297</v>
      </c>
      <c r="AR1" t="s">
        <v>298</v>
      </c>
      <c r="AS1" t="s">
        <v>299</v>
      </c>
      <c r="AT1" t="s">
        <v>300</v>
      </c>
      <c r="AU1" t="s">
        <v>301</v>
      </c>
      <c r="AV1" t="s">
        <v>302</v>
      </c>
      <c r="AW1" t="s">
        <v>303</v>
      </c>
      <c r="AX1" t="s">
        <v>304</v>
      </c>
      <c r="AY1" t="s">
        <v>305</v>
      </c>
      <c r="AZ1" t="s">
        <v>306</v>
      </c>
      <c r="BA1" t="s">
        <v>307</v>
      </c>
      <c r="BB1" t="s">
        <v>308</v>
      </c>
      <c r="BC1" t="s">
        <v>309</v>
      </c>
      <c r="BD1" t="s">
        <v>310</v>
      </c>
      <c r="BE1" t="s">
        <v>311</v>
      </c>
      <c r="BF1" t="s">
        <v>312</v>
      </c>
      <c r="BG1" t="s">
        <v>313</v>
      </c>
      <c r="BH1" t="s">
        <v>314</v>
      </c>
      <c r="BI1" t="s">
        <v>315</v>
      </c>
      <c r="BJ1" t="s">
        <v>316</v>
      </c>
      <c r="BK1" t="s">
        <v>317</v>
      </c>
      <c r="BL1" t="s">
        <v>318</v>
      </c>
      <c r="BM1" t="s">
        <v>319</v>
      </c>
      <c r="BN1" t="s">
        <v>320</v>
      </c>
      <c r="BO1" t="s">
        <v>321</v>
      </c>
      <c r="BP1" s="18" t="s">
        <v>333</v>
      </c>
    </row>
    <row r="2" spans="1:68" x14ac:dyDescent="0.3">
      <c r="A2" t="s">
        <v>322</v>
      </c>
      <c r="B2" s="20">
        <f t="array" ref="B2">ICMS_Micro!B2*xtot!B2</f>
        <v>8871880.1381225716</v>
      </c>
      <c r="C2" s="20">
        <f t="array" ref="C2">ICMS_Micro!C2*xtot!C2</f>
        <v>45138048.662199169</v>
      </c>
      <c r="D2" s="20">
        <f t="array" ref="D2">ICMS_Micro!D2*xtot!D2</f>
        <v>12363331.739430202</v>
      </c>
      <c r="E2" s="20">
        <f t="array" ref="E2">ICMS_Micro!E2*xtot!E2</f>
        <v>7851908.0841700137</v>
      </c>
      <c r="F2" s="20">
        <f t="array" ref="F2">ICMS_Micro!F2*xtot!F2</f>
        <v>7996180.6817750894</v>
      </c>
      <c r="G2" s="20">
        <f t="array" ref="G2">ICMS_Micro!G2*xtot!G2</f>
        <v>65355948.103019916</v>
      </c>
      <c r="H2" s="20">
        <f t="array" ref="H2">ICMS_Micro!H2*xtot!H2</f>
        <v>14977109.66972906</v>
      </c>
      <c r="I2" s="20">
        <f t="array" ref="I2">ICMS_Micro!I2*xtot!I2</f>
        <v>69147472.86235559</v>
      </c>
      <c r="J2" s="20">
        <f t="array" ref="J2">ICMS_Micro!J2*xtot!J2</f>
        <v>9676829.8270453606</v>
      </c>
      <c r="K2" s="20">
        <f t="array" ref="K2">ICMS_Micro!K2*xtot!K2</f>
        <v>35925576.93377088</v>
      </c>
      <c r="L2" s="20">
        <f t="array" ref="L2">ICMS_Micro!L2*xtot!L2</f>
        <v>11324012.47473694</v>
      </c>
      <c r="M2" s="20">
        <f t="array" ref="M2">ICMS_Micro!M2*xtot!M2</f>
        <v>18577396.89164573</v>
      </c>
      <c r="N2" s="20">
        <f t="array" ref="N2">ICMS_Micro!N2*xtot!N2</f>
        <v>29165583.990245055</v>
      </c>
      <c r="O2" s="20">
        <f t="array" ref="O2">ICMS_Micro!O2*xtot!O2</f>
        <v>14621827.900252853</v>
      </c>
      <c r="P2" s="20">
        <f t="array" ref="P2">ICMS_Micro!P2*xtot!P2</f>
        <v>3702694.393570479</v>
      </c>
      <c r="Q2" s="20">
        <f t="array" ref="Q2">ICMS_Micro!Q2*xtot!Q2</f>
        <v>12031692.87594147</v>
      </c>
      <c r="R2" s="20">
        <f t="array" ref="R2">ICMS_Micro!R2*xtot!R2</f>
        <v>18828714.9456678</v>
      </c>
      <c r="S2" s="20">
        <f t="array" ref="S2">ICMS_Micro!S2*xtot!S2</f>
        <v>7674720.9168675579</v>
      </c>
      <c r="T2" s="20">
        <f t="array" ref="T2">ICMS_Micro!T2*xtot!T2</f>
        <v>43979855.476424649</v>
      </c>
      <c r="U2" s="20">
        <f t="array" ref="U2">ICMS_Micro!U2*xtot!U2</f>
        <v>22117141.820808385</v>
      </c>
      <c r="V2" s="20">
        <f t="array" ref="V2">ICMS_Micro!V2*xtot!V2</f>
        <v>12535084.162078291</v>
      </c>
      <c r="W2" s="20">
        <f t="array" ref="W2">ICMS_Micro!W2*xtot!W2</f>
        <v>29683401.517920773</v>
      </c>
      <c r="X2" s="20">
        <f t="array" ref="X2">ICMS_Micro!X2*xtot!X2</f>
        <v>1414900.2909470142</v>
      </c>
      <c r="Y2" s="20">
        <f t="array" ref="Y2">ICMS_Micro!Y2*xtot!Y2</f>
        <v>8375522.9104542509</v>
      </c>
      <c r="Z2" s="20">
        <f t="array" ref="Z2">ICMS_Micro!Z2*xtot!Z2</f>
        <v>10773336.694254527</v>
      </c>
      <c r="AA2" s="20">
        <f t="array" ref="AA2">ICMS_Micro!AA2*xtot!AA2</f>
        <v>13465602.205700502</v>
      </c>
      <c r="AB2" s="20">
        <f t="array" ref="AB2">ICMS_Micro!AB2*xtot!AB2</f>
        <v>11713346.704510164</v>
      </c>
      <c r="AC2" s="20">
        <f t="array" ref="AC2">ICMS_Micro!AC2*xtot!AC2</f>
        <v>12387498.214856334</v>
      </c>
      <c r="AD2" s="20">
        <f t="array" ref="AD2">ICMS_Micro!AD2*xtot!AD2</f>
        <v>21231562.432449907</v>
      </c>
      <c r="AE2" s="20">
        <f t="array" ref="AE2">ICMS_Micro!AE2*xtot!AE2</f>
        <v>30010332.262290128</v>
      </c>
      <c r="AF2" s="20">
        <f t="array" ref="AF2">ICMS_Micro!AF2*xtot!AF2</f>
        <v>33816136.000436649</v>
      </c>
      <c r="AG2" s="20">
        <f t="array" ref="AG2">ICMS_Micro!AG2*xtot!AG2</f>
        <v>21413212.828043163</v>
      </c>
      <c r="AH2" s="20">
        <f t="array" ref="AH2">ICMS_Micro!AH2*xtot!AH2</f>
        <v>13982482.204791453</v>
      </c>
      <c r="AI2" s="20">
        <f t="array" ref="AI2">ICMS_Micro!AI2*xtot!AI2</f>
        <v>34425365.147444658</v>
      </c>
      <c r="AJ2" s="20">
        <f t="array" ref="AJ2">ICMS_Micro!AJ2*xtot!AJ2</f>
        <v>8281438.0387904271</v>
      </c>
      <c r="AK2" s="20">
        <f t="array" ref="AK2">ICMS_Micro!AK2*xtot!AK2</f>
        <v>25993825.024637651</v>
      </c>
      <c r="AL2" s="20">
        <f t="array" ref="AL2">ICMS_Micro!AL2*xtot!AL2</f>
        <v>32995531.415888481</v>
      </c>
      <c r="AM2" s="20">
        <f t="array" ref="AM2">ICMS_Micro!AM2*xtot!AM2</f>
        <v>13106960.663701495</v>
      </c>
      <c r="AN2" s="20">
        <f t="array" ref="AN2">ICMS_Micro!AN2*xtot!AN2</f>
        <v>24875452.551099956</v>
      </c>
      <c r="AO2" s="20">
        <f t="array" ref="AO2">ICMS_Micro!AO2*xtot!AO2</f>
        <v>2984564.532710019</v>
      </c>
      <c r="AP2" s="20">
        <f t="array" ref="AP2">ICMS_Micro!AP2*xtot!AP2</f>
        <v>22181481.203741107</v>
      </c>
      <c r="AQ2" s="20">
        <f t="array" ref="AQ2">ICMS_Micro!AQ2*xtot!AQ2</f>
        <v>70536337.173573539</v>
      </c>
      <c r="AR2" s="20">
        <f t="array" ref="AR2">ICMS_Micro!AR2*xtot!AR2</f>
        <v>46392640.212095</v>
      </c>
      <c r="AS2" s="20">
        <f t="array" ref="AS2">ICMS_Micro!AS2*xtot!AS2</f>
        <v>46640971.553289689</v>
      </c>
      <c r="AT2" s="20">
        <f t="array" ref="AT2">ICMS_Micro!AT2*xtot!AT2</f>
        <v>56694346.317172162</v>
      </c>
      <c r="AU2" s="20">
        <f t="array" ref="AU2">ICMS_Micro!AU2*xtot!AU2</f>
        <v>10742660.965076074</v>
      </c>
      <c r="AV2" s="20">
        <f t="array" ref="AV2">ICMS_Micro!AV2*xtot!AV2</f>
        <v>4533498.1470185248</v>
      </c>
      <c r="AW2" s="20">
        <f t="array" ref="AW2">ICMS_Micro!AW2*xtot!AW2</f>
        <v>18415526.777447309</v>
      </c>
      <c r="AX2" s="20">
        <f t="array" ref="AX2">ICMS_Micro!AX2*xtot!AX2</f>
        <v>10791004.098144529</v>
      </c>
      <c r="AY2" s="20">
        <f t="array" ref="AY2">ICMS_Micro!AY2*xtot!AY2</f>
        <v>26354187.778813612</v>
      </c>
      <c r="AZ2" s="20">
        <f t="array" ref="AZ2">ICMS_Micro!AZ2*xtot!AZ2</f>
        <v>22553643.475911289</v>
      </c>
      <c r="BA2" s="20">
        <f t="array" ref="BA2">ICMS_Micro!BA2*xtot!BA2</f>
        <v>19434159.290567372</v>
      </c>
      <c r="BB2" s="20">
        <f t="array" ref="BB2">ICMS_Micro!BB2*xtot!BB2</f>
        <v>9785574.4312297627</v>
      </c>
      <c r="BC2" s="20">
        <f t="array" ref="BC2">ICMS_Micro!BC2*xtot!BC2</f>
        <v>13667940.735201327</v>
      </c>
      <c r="BD2" s="20">
        <f t="array" ref="BD2">ICMS_Micro!BD2*xtot!BD2</f>
        <v>23485797.885791168</v>
      </c>
      <c r="BE2" s="20">
        <f t="array" ref="BE2">ICMS_Micro!BE2*xtot!BE2</f>
        <v>32032729.305865459</v>
      </c>
      <c r="BF2" s="20">
        <f t="array" ref="BF2">ICMS_Micro!BF2*xtot!BF2</f>
        <v>36290170.284067944</v>
      </c>
      <c r="BG2" s="20">
        <f t="array" ref="BG2">ICMS_Micro!BG2*xtot!BG2</f>
        <v>41833246.548166782</v>
      </c>
      <c r="BH2" s="20">
        <f t="array" ref="BH2">ICMS_Micro!BH2*xtot!BH2</f>
        <v>27712050.229939174</v>
      </c>
      <c r="BI2" s="20">
        <f t="array" ref="BI2">ICMS_Micro!BI2*xtot!BI2</f>
        <v>20718311.396383967</v>
      </c>
      <c r="BJ2" s="20">
        <f t="array" ref="BJ2">ICMS_Micro!BJ2*xtot!BJ2</f>
        <v>24407633.169558756</v>
      </c>
      <c r="BK2" s="20">
        <f t="array" ref="BK2">ICMS_Micro!BK2*xtot!BK2</f>
        <v>67581297.238443702</v>
      </c>
      <c r="BL2" s="20">
        <f t="array" ref="BL2">ICMS_Micro!BL2*xtot!BL2</f>
        <v>77763275.58096616</v>
      </c>
      <c r="BM2" s="20">
        <f t="array" ref="BM2">ICMS_Micro!BM2*xtot!BM2</f>
        <v>64720088.419562295</v>
      </c>
      <c r="BN2" s="20">
        <f t="array" ref="BN2">ICMS_Micro!BN2*xtot!BN2</f>
        <v>73855541.00006251</v>
      </c>
      <c r="BO2" s="20">
        <f t="array" ref="BO2">ICMS_Micro!BO2*xtot!BO2</f>
        <v>31161785.738584001</v>
      </c>
      <c r="BP2" s="23">
        <f t="array" ref="BP2">SUM(B2:BO2)</f>
        <v>1723079383.1474578</v>
      </c>
    </row>
    <row r="3" spans="1:68" x14ac:dyDescent="0.3">
      <c r="A3" t="s">
        <v>323</v>
      </c>
      <c r="B3" s="20">
        <f t="array" ref="B3">ICMS_Micro!B3*xtot!B3</f>
        <v>11858379.799027113</v>
      </c>
      <c r="C3" s="20">
        <f t="array" ref="C3">ICMS_Micro!C3*xtot!C3</f>
        <v>37565146.800766625</v>
      </c>
      <c r="D3" s="20">
        <f t="array" ref="D3">ICMS_Micro!D3*xtot!D3</f>
        <v>4856973.8948589209</v>
      </c>
      <c r="E3" s="20">
        <f t="array" ref="E3">ICMS_Micro!E3*xtot!E3</f>
        <v>2111921.432174643</v>
      </c>
      <c r="F3" s="20">
        <f t="array" ref="F3">ICMS_Micro!F3*xtot!F3</f>
        <v>5151043.5564121874</v>
      </c>
      <c r="G3" s="20">
        <f t="array" ref="G3">ICMS_Micro!G3*xtot!G3</f>
        <v>153525673.1730535</v>
      </c>
      <c r="H3" s="20">
        <f t="array" ref="H3">ICMS_Micro!H3*xtot!H3</f>
        <v>21240601.500450451</v>
      </c>
      <c r="I3" s="20">
        <f t="array" ref="I3">ICMS_Micro!I3*xtot!I3</f>
        <v>5394371862.3288155</v>
      </c>
      <c r="J3" s="20">
        <f t="array" ref="J3">ICMS_Micro!J3*xtot!J3</f>
        <v>6641024.375397549</v>
      </c>
      <c r="K3" s="20">
        <f t="array" ref="K3">ICMS_Micro!K3*xtot!K3</f>
        <v>23910793.629368596</v>
      </c>
      <c r="L3" s="20">
        <f t="array" ref="L3">ICMS_Micro!L3*xtot!L3</f>
        <v>8946059.7590587009</v>
      </c>
      <c r="M3" s="20">
        <f t="array" ref="M3">ICMS_Micro!M3*xtot!M3</f>
        <v>6473446.5445506759</v>
      </c>
      <c r="N3" s="20">
        <f t="array" ref="N3">ICMS_Micro!N3*xtot!N3</f>
        <v>9104783.011352174</v>
      </c>
      <c r="O3" s="20">
        <f t="array" ref="O3">ICMS_Micro!O3*xtot!O3</f>
        <v>55356832.372478627</v>
      </c>
      <c r="P3" s="20">
        <f t="array" ref="P3">ICMS_Micro!P3*xtot!P3</f>
        <v>72499017.877583846</v>
      </c>
      <c r="Q3" s="20">
        <f t="array" ref="Q3">ICMS_Micro!Q3*xtot!Q3</f>
        <v>531177938.50579143</v>
      </c>
      <c r="R3" s="20">
        <f t="array" ref="R3">ICMS_Micro!R3*xtot!R3</f>
        <v>7656407.4857655792</v>
      </c>
      <c r="S3" s="20">
        <f t="array" ref="S3">ICMS_Micro!S3*xtot!S3</f>
        <v>4642522.7087133462</v>
      </c>
      <c r="T3" s="20">
        <f t="array" ref="T3">ICMS_Micro!T3*xtot!T3</f>
        <v>277785667.48348367</v>
      </c>
      <c r="U3" s="20">
        <f t="array" ref="U3">ICMS_Micro!U3*xtot!U3</f>
        <v>27337073.109406915</v>
      </c>
      <c r="V3" s="20">
        <f t="array" ref="V3">ICMS_Micro!V3*xtot!V3</f>
        <v>46747028.331071489</v>
      </c>
      <c r="W3" s="20">
        <f t="array" ref="W3">ICMS_Micro!W3*xtot!W3</f>
        <v>30473125.639876168</v>
      </c>
      <c r="X3" s="20">
        <f t="array" ref="X3">ICMS_Micro!X3*xtot!X3</f>
        <v>5503402.3058767896</v>
      </c>
      <c r="Y3" s="20">
        <f t="array" ref="Y3">ICMS_Micro!Y3*xtot!Y3</f>
        <v>7945866.9392261757</v>
      </c>
      <c r="Z3" s="20">
        <f t="array" ref="Z3">ICMS_Micro!Z3*xtot!Z3</f>
        <v>452746046.44947171</v>
      </c>
      <c r="AA3" s="20">
        <f t="array" ref="AA3">ICMS_Micro!AA3*xtot!AA3</f>
        <v>713908614.68089128</v>
      </c>
      <c r="AB3" s="20">
        <f t="array" ref="AB3">ICMS_Micro!AB3*xtot!AB3</f>
        <v>132446942.94500405</v>
      </c>
      <c r="AC3" s="20">
        <f t="array" ref="AC3">ICMS_Micro!AC3*xtot!AC3</f>
        <v>31836496.702737726</v>
      </c>
      <c r="AD3" s="20">
        <f t="array" ref="AD3">ICMS_Micro!AD3*xtot!AD3</f>
        <v>24596802.547829069</v>
      </c>
      <c r="AE3" s="20">
        <f t="array" ref="AE3">ICMS_Micro!AE3*xtot!AE3</f>
        <v>56432525.360473894</v>
      </c>
      <c r="AF3" s="20">
        <f t="array" ref="AF3">ICMS_Micro!AF3*xtot!AF3</f>
        <v>7066541.6415448142</v>
      </c>
      <c r="AG3" s="20">
        <f t="array" ref="AG3">ICMS_Micro!AG3*xtot!AG3</f>
        <v>126215581.5154033</v>
      </c>
      <c r="AH3" s="20">
        <f t="array" ref="AH3">ICMS_Micro!AH3*xtot!AH3</f>
        <v>18639412.306947142</v>
      </c>
      <c r="AI3" s="20">
        <f t="array" ref="AI3">ICMS_Micro!AI3*xtot!AI3</f>
        <v>62154178.841039024</v>
      </c>
      <c r="AJ3" s="20">
        <f t="array" ref="AJ3">ICMS_Micro!AJ3*xtot!AJ3</f>
        <v>1701931.8845594521</v>
      </c>
      <c r="AK3" s="20">
        <f t="array" ref="AK3">ICMS_Micro!AK3*xtot!AK3</f>
        <v>44662318.170798518</v>
      </c>
      <c r="AL3" s="20">
        <f t="array" ref="AL3">ICMS_Micro!AL3*xtot!AL3</f>
        <v>51095177.591312177</v>
      </c>
      <c r="AM3" s="20">
        <f t="array" ref="AM3">ICMS_Micro!AM3*xtot!AM3</f>
        <v>7364706.3594905594</v>
      </c>
      <c r="AN3" s="20">
        <f t="array" ref="AN3">ICMS_Micro!AN3*xtot!AN3</f>
        <v>32016057.950292241</v>
      </c>
      <c r="AO3" s="20">
        <f t="array" ref="AO3">ICMS_Micro!AO3*xtot!AO3</f>
        <v>825689508.52227092</v>
      </c>
      <c r="AP3" s="20">
        <f t="array" ref="AP3">ICMS_Micro!AP3*xtot!AP3</f>
        <v>23883921.965230908</v>
      </c>
      <c r="AQ3" s="20">
        <f t="array" ref="AQ3">ICMS_Micro!AQ3*xtot!AQ3</f>
        <v>137119651.07294545</v>
      </c>
      <c r="AR3" s="20">
        <f t="array" ref="AR3">ICMS_Micro!AR3*xtot!AR3</f>
        <v>63403586.068462178</v>
      </c>
      <c r="AS3" s="20">
        <f t="array" ref="AS3">ICMS_Micro!AS3*xtot!AS3</f>
        <v>22996155.372898918</v>
      </c>
      <c r="AT3" s="20">
        <f t="array" ref="AT3">ICMS_Micro!AT3*xtot!AT3</f>
        <v>20306592.086875375</v>
      </c>
      <c r="AU3" s="20">
        <f t="array" ref="AU3">ICMS_Micro!AU3*xtot!AU3</f>
        <v>1235986.2541022305</v>
      </c>
      <c r="AV3" s="20">
        <f t="array" ref="AV3">ICMS_Micro!AV3*xtot!AV3</f>
        <v>3881334.4111954025</v>
      </c>
      <c r="AW3" s="20">
        <f t="array" ref="AW3">ICMS_Micro!AW3*xtot!AW3</f>
        <v>18104560.740725271</v>
      </c>
      <c r="AX3" s="20">
        <f t="array" ref="AX3">ICMS_Micro!AX3*xtot!AX3</f>
        <v>6217565.1003301367</v>
      </c>
      <c r="AY3" s="20">
        <f t="array" ref="AY3">ICMS_Micro!AY3*xtot!AY3</f>
        <v>128333796.37207213</v>
      </c>
      <c r="AZ3" s="20">
        <f t="array" ref="AZ3">ICMS_Micro!AZ3*xtot!AZ3</f>
        <v>13319715.131807545</v>
      </c>
      <c r="BA3" s="20">
        <f t="array" ref="BA3">ICMS_Micro!BA3*xtot!BA3</f>
        <v>112294392.69659378</v>
      </c>
      <c r="BB3" s="20">
        <f t="array" ref="BB3">ICMS_Micro!BB3*xtot!BB3</f>
        <v>11846182.765112342</v>
      </c>
      <c r="BC3" s="20">
        <f t="array" ref="BC3">ICMS_Micro!BC3*xtot!BC3</f>
        <v>20553151.610407729</v>
      </c>
      <c r="BD3" s="20">
        <f t="array" ref="BD3">ICMS_Micro!BD3*xtot!BD3</f>
        <v>58895914.453191958</v>
      </c>
      <c r="BE3" s="20">
        <f t="array" ref="BE3">ICMS_Micro!BE3*xtot!BE3</f>
        <v>16559966.430310588</v>
      </c>
      <c r="BF3" s="20">
        <f t="array" ref="BF3">ICMS_Micro!BF3*xtot!BF3</f>
        <v>53185262.404111899</v>
      </c>
      <c r="BG3" s="20">
        <f t="array" ref="BG3">ICMS_Micro!BG3*xtot!BG3</f>
        <v>89348321.694379523</v>
      </c>
      <c r="BH3" s="20">
        <f t="array" ref="BH3">ICMS_Micro!BH3*xtot!BH3</f>
        <v>9552225.1047959439</v>
      </c>
      <c r="BI3" s="20">
        <f t="array" ref="BI3">ICMS_Micro!BI3*xtot!BI3</f>
        <v>40789755.652312398</v>
      </c>
      <c r="BJ3" s="20">
        <f t="array" ref="BJ3">ICMS_Micro!BJ3*xtot!BJ3</f>
        <v>46417545.22345186</v>
      </c>
      <c r="BK3" s="20">
        <f t="array" ref="BK3">ICMS_Micro!BK3*xtot!BK3</f>
        <v>151343293.66539356</v>
      </c>
      <c r="BL3" s="20">
        <f t="array" ref="BL3">ICMS_Micro!BL3*xtot!BL3</f>
        <v>297361860.92359787</v>
      </c>
      <c r="BM3" s="20">
        <f t="array" ref="BM3">ICMS_Micro!BM3*xtot!BM3</f>
        <v>22631870.098656334</v>
      </c>
      <c r="BN3" s="20">
        <f t="array" ref="BN3">ICMS_Micro!BN3*xtot!BN3</f>
        <v>64289557.186370559</v>
      </c>
      <c r="BO3" s="20">
        <f t="array" ref="BO3">ICMS_Micro!BO3*xtot!BO3</f>
        <v>9729812.6456108298</v>
      </c>
      <c r="BP3" s="23">
        <f t="array" ref="BP3">SUM(B3:BO3)</f>
        <v>10785057413.165567</v>
      </c>
    </row>
    <row r="4" spans="1:68" x14ac:dyDescent="0.3">
      <c r="A4" t="s">
        <v>324</v>
      </c>
      <c r="B4" s="20">
        <f t="array" ref="B4">ICMS_Micro!B4*xtot!B4</f>
        <v>113685415.27361374</v>
      </c>
      <c r="C4" s="20">
        <f t="array" ref="C4">ICMS_Micro!C4*xtot!C4</f>
        <v>826581516.23730791</v>
      </c>
      <c r="D4" s="20">
        <f t="array" ref="D4">ICMS_Micro!D4*xtot!D4</f>
        <v>147183781.0401305</v>
      </c>
      <c r="E4" s="20">
        <f t="array" ref="E4">ICMS_Micro!E4*xtot!E4</f>
        <v>10609849.114835002</v>
      </c>
      <c r="F4" s="20">
        <f t="array" ref="F4">ICMS_Micro!F4*xtot!F4</f>
        <v>106359253.28903522</v>
      </c>
      <c r="G4" s="20">
        <f t="array" ref="G4">ICMS_Micro!G4*xtot!G4</f>
        <v>3861221761.2824011</v>
      </c>
      <c r="H4" s="20">
        <f t="array" ref="H4">ICMS_Micro!H4*xtot!H4</f>
        <v>867489664.23999</v>
      </c>
      <c r="I4" s="20">
        <f t="array" ref="I4">ICMS_Micro!I4*xtot!I4</f>
        <v>22316402829.895645</v>
      </c>
      <c r="J4" s="20">
        <f t="array" ref="J4">ICMS_Micro!J4*xtot!J4</f>
        <v>2161151437.1927662</v>
      </c>
      <c r="K4" s="20">
        <f t="array" ref="K4">ICMS_Micro!K4*xtot!K4</f>
        <v>654397411.23030674</v>
      </c>
      <c r="L4" s="20">
        <f t="array" ref="L4">ICMS_Micro!L4*xtot!L4</f>
        <v>190151615.11598149</v>
      </c>
      <c r="M4" s="20">
        <f t="array" ref="M4">ICMS_Micro!M4*xtot!M4</f>
        <v>367024164.96328348</v>
      </c>
      <c r="N4" s="20">
        <f t="array" ref="N4">ICMS_Micro!N4*xtot!N4</f>
        <v>418562248.76594502</v>
      </c>
      <c r="O4" s="20">
        <f t="array" ref="O4">ICMS_Micro!O4*xtot!O4</f>
        <v>620487553.51760602</v>
      </c>
      <c r="P4" s="20">
        <f t="array" ref="P4">ICMS_Micro!P4*xtot!P4</f>
        <v>218616540.96235344</v>
      </c>
      <c r="Q4" s="20">
        <f t="array" ref="Q4">ICMS_Micro!Q4*xtot!Q4</f>
        <v>6085542454.1427946</v>
      </c>
      <c r="R4" s="20">
        <f t="array" ref="R4">ICMS_Micro!R4*xtot!R4</f>
        <v>301623964.30974555</v>
      </c>
      <c r="S4" s="20">
        <f t="array" ref="S4">ICMS_Micro!S4*xtot!S4</f>
        <v>107305106.56392169</v>
      </c>
      <c r="T4" s="20">
        <f t="array" ref="T4">ICMS_Micro!T4*xtot!T4</f>
        <v>4060828297.1678638</v>
      </c>
      <c r="U4" s="20">
        <f t="array" ref="U4">ICMS_Micro!U4*xtot!U4</f>
        <v>963759375.15819764</v>
      </c>
      <c r="V4" s="20">
        <f t="array" ref="V4">ICMS_Micro!V4*xtot!V4</f>
        <v>161029085.12938693</v>
      </c>
      <c r="W4" s="20">
        <f t="array" ref="W4">ICMS_Micro!W4*xtot!W4</f>
        <v>852430070.20712984</v>
      </c>
      <c r="X4" s="20">
        <f t="array" ref="X4">ICMS_Micro!X4*xtot!X4</f>
        <v>137905219.41295943</v>
      </c>
      <c r="Y4" s="20">
        <f t="array" ref="Y4">ICMS_Micro!Y4*xtot!Y4</f>
        <v>248861778.48700485</v>
      </c>
      <c r="Z4" s="20">
        <f t="array" ref="Z4">ICMS_Micro!Z4*xtot!Z4</f>
        <v>8072499710.9324808</v>
      </c>
      <c r="AA4" s="20">
        <f t="array" ref="AA4">ICMS_Micro!AA4*xtot!AA4</f>
        <v>5876981302.215373</v>
      </c>
      <c r="AB4" s="20">
        <f t="array" ref="AB4">ICMS_Micro!AB4*xtot!AB4</f>
        <v>1487760547.0525472</v>
      </c>
      <c r="AC4" s="20">
        <f t="array" ref="AC4">ICMS_Micro!AC4*xtot!AC4</f>
        <v>226087373.52913493</v>
      </c>
      <c r="AD4" s="20">
        <f t="array" ref="AD4">ICMS_Micro!AD4*xtot!AD4</f>
        <v>726737410.15672553</v>
      </c>
      <c r="AE4" s="20">
        <f t="array" ref="AE4">ICMS_Micro!AE4*xtot!AE4</f>
        <v>722557366.98710871</v>
      </c>
      <c r="AF4" s="20">
        <f t="array" ref="AF4">ICMS_Micro!AF4*xtot!AF4</f>
        <v>389014371.596237</v>
      </c>
      <c r="AG4" s="20">
        <f t="array" ref="AG4">ICMS_Micro!AG4*xtot!AG4</f>
        <v>6435986718.4678802</v>
      </c>
      <c r="AH4" s="20">
        <f t="array" ref="AH4">ICMS_Micro!AH4*xtot!AH4</f>
        <v>268789445.7852087</v>
      </c>
      <c r="AI4" s="20">
        <f t="array" ref="AI4">ICMS_Micro!AI4*xtot!AI4</f>
        <v>1048396420.8048184</v>
      </c>
      <c r="AJ4" s="20">
        <f t="array" ref="AJ4">ICMS_Micro!AJ4*xtot!AJ4</f>
        <v>49405803.688497521</v>
      </c>
      <c r="AK4" s="20">
        <f t="array" ref="AK4">ICMS_Micro!AK4*xtot!AK4</f>
        <v>1610981340.1839223</v>
      </c>
      <c r="AL4" s="20">
        <f t="array" ref="AL4">ICMS_Micro!AL4*xtot!AL4</f>
        <v>424820948.5320183</v>
      </c>
      <c r="AM4" s="20">
        <f t="array" ref="AM4">ICMS_Micro!AM4*xtot!AM4</f>
        <v>53930158.81348826</v>
      </c>
      <c r="AN4" s="20">
        <f t="array" ref="AN4">ICMS_Micro!AN4*xtot!AN4</f>
        <v>341337217.6792028</v>
      </c>
      <c r="AO4" s="20">
        <f t="array" ref="AO4">ICMS_Micro!AO4*xtot!AO4</f>
        <v>5164535672.7503881</v>
      </c>
      <c r="AP4" s="20">
        <f t="array" ref="AP4">ICMS_Micro!AP4*xtot!AP4</f>
        <v>895763425.06682003</v>
      </c>
      <c r="AQ4" s="20">
        <f t="array" ref="AQ4">ICMS_Micro!AQ4*xtot!AQ4</f>
        <v>682811077.57802701</v>
      </c>
      <c r="AR4" s="20">
        <f t="array" ref="AR4">ICMS_Micro!AR4*xtot!AR4</f>
        <v>1271539994.8349636</v>
      </c>
      <c r="AS4" s="20">
        <f t="array" ref="AS4">ICMS_Micro!AS4*xtot!AS4</f>
        <v>909680372.86615515</v>
      </c>
      <c r="AT4" s="20">
        <f t="array" ref="AT4">ICMS_Micro!AT4*xtot!AT4</f>
        <v>638593606.71429837</v>
      </c>
      <c r="AU4" s="20">
        <f t="array" ref="AU4">ICMS_Micro!AU4*xtot!AU4</f>
        <v>22908993.678933468</v>
      </c>
      <c r="AV4" s="20">
        <f t="array" ref="AV4">ICMS_Micro!AV4*xtot!AV4</f>
        <v>99700971.394021139</v>
      </c>
      <c r="AW4" s="20">
        <f t="array" ref="AW4">ICMS_Micro!AW4*xtot!AW4</f>
        <v>2047988467.1397614</v>
      </c>
      <c r="AX4" s="20">
        <f t="array" ref="AX4">ICMS_Micro!AX4*xtot!AX4</f>
        <v>291541165.31797051</v>
      </c>
      <c r="AY4" s="20">
        <f t="array" ref="AY4">ICMS_Micro!AY4*xtot!AY4</f>
        <v>2477438753.6417055</v>
      </c>
      <c r="AZ4" s="20">
        <f t="array" ref="AZ4">ICMS_Micro!AZ4*xtot!AZ4</f>
        <v>209774918.28664598</v>
      </c>
      <c r="BA4" s="20">
        <f t="array" ref="BA4">ICMS_Micro!BA4*xtot!BA4</f>
        <v>1633591683.7868729</v>
      </c>
      <c r="BB4" s="20">
        <f t="array" ref="BB4">ICMS_Micro!BB4*xtot!BB4</f>
        <v>568326133.58972657</v>
      </c>
      <c r="BC4" s="20">
        <f t="array" ref="BC4">ICMS_Micro!BC4*xtot!BC4</f>
        <v>-108978132.63665451</v>
      </c>
      <c r="BD4" s="20">
        <f t="array" ref="BD4">ICMS_Micro!BD4*xtot!BD4</f>
        <v>694734041.35768735</v>
      </c>
      <c r="BE4" s="20">
        <f t="array" ref="BE4">ICMS_Micro!BE4*xtot!BE4</f>
        <v>430302130.13433844</v>
      </c>
      <c r="BF4" s="20">
        <f t="array" ref="BF4">ICMS_Micro!BF4*xtot!BF4</f>
        <v>812607313.14017224</v>
      </c>
      <c r="BG4" s="20">
        <f t="array" ref="BG4">ICMS_Micro!BG4*xtot!BG4</f>
        <v>3160573893.752883</v>
      </c>
      <c r="BH4" s="20">
        <f t="array" ref="BH4">ICMS_Micro!BH4*xtot!BH4</f>
        <v>392501641.47209728</v>
      </c>
      <c r="BI4" s="20">
        <f t="array" ref="BI4">ICMS_Micro!BI4*xtot!BI4</f>
        <v>7934246764.7668276</v>
      </c>
      <c r="BJ4" s="20">
        <f t="array" ref="BJ4">ICMS_Micro!BJ4*xtot!BJ4</f>
        <v>1022759140.8154805</v>
      </c>
      <c r="BK4" s="20">
        <f t="array" ref="BK4">ICMS_Micro!BK4*xtot!BK4</f>
        <v>3602551456.6282687</v>
      </c>
      <c r="BL4" s="20">
        <f t="array" ref="BL4">ICMS_Micro!BL4*xtot!BL4</f>
        <v>6172328520.4751139</v>
      </c>
      <c r="BM4" s="20">
        <f t="array" ref="BM4">ICMS_Micro!BM4*xtot!BM4</f>
        <v>496085502.46023285</v>
      </c>
      <c r="BN4" s="20">
        <f t="array" ref="BN4">ICMS_Micro!BN4*xtot!BN4</f>
        <v>1591905266.1216431</v>
      </c>
      <c r="BO4" s="20">
        <f t="array" ref="BO4">ICMS_Micro!BO4*xtot!BO4</f>
        <v>250719575.70337135</v>
      </c>
      <c r="BP4" s="23">
        <f t="array" ref="BP4">SUM(B4:BO4)</f>
        <v>116901028879.96255</v>
      </c>
    </row>
    <row r="5" spans="1:68" x14ac:dyDescent="0.3">
      <c r="A5" t="s">
        <v>325</v>
      </c>
      <c r="B5" s="20">
        <f t="array" ref="B5">ICMS_Micro!B5*xtot!B5</f>
        <v>43044784.993180089</v>
      </c>
      <c r="C5" s="20">
        <f t="array" ref="C5">ICMS_Micro!C5*xtot!C5</f>
        <v>50917994.179771312</v>
      </c>
      <c r="D5" s="20">
        <f t="array" ref="D5">ICMS_Micro!D5*xtot!D5</f>
        <v>39160276.252580777</v>
      </c>
      <c r="E5" s="20">
        <f t="array" ref="E5">ICMS_Micro!E5*xtot!E5</f>
        <v>28958250.094596669</v>
      </c>
      <c r="F5" s="20">
        <f t="array" ref="F5">ICMS_Micro!F5*xtot!F5</f>
        <v>31933061.689027525</v>
      </c>
      <c r="G5" s="20">
        <f t="array" ref="G5">ICMS_Micro!G5*xtot!G5</f>
        <v>159332468.88636753</v>
      </c>
      <c r="H5" s="20">
        <f t="array" ref="H5">ICMS_Micro!H5*xtot!H5</f>
        <v>51851945.690797165</v>
      </c>
      <c r="I5" s="20">
        <f t="array" ref="I5">ICMS_Micro!I5*xtot!I5</f>
        <v>1923868673.7387784</v>
      </c>
      <c r="J5" s="20">
        <f t="array" ref="J5">ICMS_Micro!J5*xtot!J5</f>
        <v>37953736.881179594</v>
      </c>
      <c r="K5" s="20">
        <f t="array" ref="K5">ICMS_Micro!K5*xtot!K5</f>
        <v>114962673.65421957</v>
      </c>
      <c r="L5" s="20">
        <f t="array" ref="L5">ICMS_Micro!L5*xtot!L5</f>
        <v>62051072.753489397</v>
      </c>
      <c r="M5" s="20">
        <f t="array" ref="M5">ICMS_Micro!M5*xtot!M5</f>
        <v>43367887.412846282</v>
      </c>
      <c r="N5" s="20">
        <f t="array" ref="N5">ICMS_Micro!N5*xtot!N5</f>
        <v>34460734.459813125</v>
      </c>
      <c r="O5" s="20">
        <f t="array" ref="O5">ICMS_Micro!O5*xtot!O5</f>
        <v>66376079.785551667</v>
      </c>
      <c r="P5" s="20">
        <f t="array" ref="P5">ICMS_Micro!P5*xtot!P5</f>
        <v>14625275.861776302</v>
      </c>
      <c r="Q5" s="20">
        <f t="array" ref="Q5">ICMS_Micro!Q5*xtot!Q5</f>
        <v>101918655.09380424</v>
      </c>
      <c r="R5" s="20">
        <f t="array" ref="R5">ICMS_Micro!R5*xtot!R5</f>
        <v>114356797.82492791</v>
      </c>
      <c r="S5" s="20">
        <f t="array" ref="S5">ICMS_Micro!S5*xtot!S5</f>
        <v>22720938.199073926</v>
      </c>
      <c r="T5" s="20">
        <f t="array" ref="T5">ICMS_Micro!T5*xtot!T5</f>
        <v>342435750.91005337</v>
      </c>
      <c r="U5" s="20">
        <f t="array" ref="U5">ICMS_Micro!U5*xtot!U5</f>
        <v>148433382.54325998</v>
      </c>
      <c r="V5" s="20">
        <f t="array" ref="V5">ICMS_Micro!V5*xtot!V5</f>
        <v>137091551.4162887</v>
      </c>
      <c r="W5" s="20">
        <f t="array" ref="W5">ICMS_Micro!W5*xtot!W5</f>
        <v>93863290.004885718</v>
      </c>
      <c r="X5" s="20">
        <f t="array" ref="X5">ICMS_Micro!X5*xtot!X5</f>
        <v>3825899.6722172555</v>
      </c>
      <c r="Y5" s="20">
        <f t="array" ref="Y5">ICMS_Micro!Y5*xtot!Y5</f>
        <v>26676576.355810367</v>
      </c>
      <c r="Z5" s="20">
        <f t="array" ref="Z5">ICMS_Micro!Z5*xtot!Z5</f>
        <v>264845884.85968176</v>
      </c>
      <c r="AA5" s="20">
        <f t="array" ref="AA5">ICMS_Micro!AA5*xtot!AA5</f>
        <v>238455666.89318654</v>
      </c>
      <c r="AB5" s="20">
        <f t="array" ref="AB5">ICMS_Micro!AB5*xtot!AB5</f>
        <v>44548907.201043613</v>
      </c>
      <c r="AC5" s="20">
        <f t="array" ref="AC5">ICMS_Micro!AC5*xtot!AC5</f>
        <v>55497058.543389156</v>
      </c>
      <c r="AD5" s="20">
        <f t="array" ref="AD5">ICMS_Micro!AD5*xtot!AD5</f>
        <v>68912689.804047808</v>
      </c>
      <c r="AE5" s="20">
        <f t="array" ref="AE5">ICMS_Micro!AE5*xtot!AE5</f>
        <v>37952847.815199137</v>
      </c>
      <c r="AF5" s="20">
        <f t="array" ref="AF5">ICMS_Micro!AF5*xtot!AF5</f>
        <v>35788020.936722301</v>
      </c>
      <c r="AG5" s="20">
        <f t="array" ref="AG5">ICMS_Micro!AG5*xtot!AG5</f>
        <v>83856604.933077514</v>
      </c>
      <c r="AH5" s="20">
        <f t="array" ref="AH5">ICMS_Micro!AH5*xtot!AH5</f>
        <v>96236922.91035074</v>
      </c>
      <c r="AI5" s="20">
        <f t="array" ref="AI5">ICMS_Micro!AI5*xtot!AI5</f>
        <v>62148959.955154069</v>
      </c>
      <c r="AJ5" s="20">
        <f t="array" ref="AJ5">ICMS_Micro!AJ5*xtot!AJ5</f>
        <v>8205148.5441889642</v>
      </c>
      <c r="AK5" s="20">
        <f t="array" ref="AK5">ICMS_Micro!AK5*xtot!AK5</f>
        <v>483711063.93405306</v>
      </c>
      <c r="AL5" s="20">
        <f t="array" ref="AL5">ICMS_Micro!AL5*xtot!AL5</f>
        <v>91568933.722952828</v>
      </c>
      <c r="AM5" s="20">
        <f t="array" ref="AM5">ICMS_Micro!AM5*xtot!AM5</f>
        <v>12810137.185447956</v>
      </c>
      <c r="AN5" s="20">
        <f t="array" ref="AN5">ICMS_Micro!AN5*xtot!AN5</f>
        <v>30142801.488003924</v>
      </c>
      <c r="AO5" s="20">
        <f t="array" ref="AO5">ICMS_Micro!AO5*xtot!AO5</f>
        <v>147498180.2058906</v>
      </c>
      <c r="AP5" s="20">
        <f t="array" ref="AP5">ICMS_Micro!AP5*xtot!AP5</f>
        <v>46869790.115567513</v>
      </c>
      <c r="AQ5" s="20">
        <f t="array" ref="AQ5">ICMS_Micro!AQ5*xtot!AQ5</f>
        <v>350163043.25767279</v>
      </c>
      <c r="AR5" s="20">
        <f t="array" ref="AR5">ICMS_Micro!AR5*xtot!AR5</f>
        <v>101743656.0925951</v>
      </c>
      <c r="AS5" s="20">
        <f t="array" ref="AS5">ICMS_Micro!AS5*xtot!AS5</f>
        <v>163671206.45373046</v>
      </c>
      <c r="AT5" s="20">
        <f t="array" ref="AT5">ICMS_Micro!AT5*xtot!AT5</f>
        <v>128625243.08089916</v>
      </c>
      <c r="AU5" s="20">
        <f t="array" ref="AU5">ICMS_Micro!AU5*xtot!AU5</f>
        <v>2196421.8285931055</v>
      </c>
      <c r="AV5" s="20">
        <f t="array" ref="AV5">ICMS_Micro!AV5*xtot!AV5</f>
        <v>8365072.269731381</v>
      </c>
      <c r="AW5" s="20">
        <f t="array" ref="AW5">ICMS_Micro!AW5*xtot!AW5</f>
        <v>138372536.69822088</v>
      </c>
      <c r="AX5" s="20">
        <f t="array" ref="AX5">ICMS_Micro!AX5*xtot!AX5</f>
        <v>130695887.07936318</v>
      </c>
      <c r="AY5" s="20">
        <f t="array" ref="AY5">ICMS_Micro!AY5*xtot!AY5</f>
        <v>160607938.39595941</v>
      </c>
      <c r="AZ5" s="20">
        <f t="array" ref="AZ5">ICMS_Micro!AZ5*xtot!AZ5</f>
        <v>50663149.276873142</v>
      </c>
      <c r="BA5" s="20">
        <f t="array" ref="BA5">ICMS_Micro!BA5*xtot!BA5</f>
        <v>100637334.01914878</v>
      </c>
      <c r="BB5" s="20">
        <f t="array" ref="BB5">ICMS_Micro!BB5*xtot!BB5</f>
        <v>123142587.67611772</v>
      </c>
      <c r="BC5" s="20">
        <f t="array" ref="BC5">ICMS_Micro!BC5*xtot!BC5</f>
        <v>62058705.688714512</v>
      </c>
      <c r="BD5" s="20">
        <f t="array" ref="BD5">ICMS_Micro!BD5*xtot!BD5</f>
        <v>15113367.824520001</v>
      </c>
      <c r="BE5" s="20">
        <f t="array" ref="BE5">ICMS_Micro!BE5*xtot!BE5</f>
        <v>78360113.366860166</v>
      </c>
      <c r="BF5" s="20">
        <f t="array" ref="BF5">ICMS_Micro!BF5*xtot!BF5</f>
        <v>119172067.33848825</v>
      </c>
      <c r="BG5" s="20">
        <f t="array" ref="BG5">ICMS_Micro!BG5*xtot!BG5</f>
        <v>445248952.45902342</v>
      </c>
      <c r="BH5" s="20">
        <f t="array" ref="BH5">ICMS_Micro!BH5*xtot!BH5</f>
        <v>89440569.951614812</v>
      </c>
      <c r="BI5" s="20">
        <f t="array" ref="BI5">ICMS_Micro!BI5*xtot!BI5</f>
        <v>48231462.021686904</v>
      </c>
      <c r="BJ5" s="20">
        <f t="array" ref="BJ5">ICMS_Micro!BJ5*xtot!BJ5</f>
        <v>96899972.670991763</v>
      </c>
      <c r="BK5" s="20">
        <f t="array" ref="BK5">ICMS_Micro!BK5*xtot!BK5</f>
        <v>125554241.50517222</v>
      </c>
      <c r="BL5" s="20">
        <f t="array" ref="BL5">ICMS_Micro!BL5*xtot!BL5</f>
        <v>426964447.60913479</v>
      </c>
      <c r="BM5" s="20">
        <f t="array" ref="BM5">ICMS_Micro!BM5*xtot!BM5</f>
        <v>43322229.527992912</v>
      </c>
      <c r="BN5" s="20">
        <f t="array" ref="BN5">ICMS_Micro!BN5*xtot!BN5</f>
        <v>221371228.78508192</v>
      </c>
      <c r="BO5" s="20">
        <f t="array" ref="BO5">ICMS_Micro!BO5*xtot!BO5</f>
        <v>29951451.049896631</v>
      </c>
      <c r="BP5" s="23">
        <f t="array" ref="BP5">SUM(B5:BO5)</f>
        <v>8763810263.3303394</v>
      </c>
    </row>
    <row r="6" spans="1:68" x14ac:dyDescent="0.3">
      <c r="A6" t="s">
        <v>326</v>
      </c>
      <c r="B6" s="20">
        <f t="array" ref="B6">ICMS_Micro!B6*xtot!B6</f>
        <v>349825222.68432504</v>
      </c>
      <c r="C6" s="20">
        <f t="array" ref="C6">ICMS_Micro!C6*xtot!C6</f>
        <v>1211805655.0013402</v>
      </c>
      <c r="D6" s="20">
        <f t="array" ref="D6">ICMS_Micro!D6*xtot!D6</f>
        <v>342529489.39554763</v>
      </c>
      <c r="E6" s="20">
        <f t="array" ref="E6">ICMS_Micro!E6*xtot!E6</f>
        <v>123806128.85217679</v>
      </c>
      <c r="F6" s="20">
        <f t="array" ref="F6">ICMS_Micro!F6*xtot!F6</f>
        <v>187819656.56190279</v>
      </c>
      <c r="G6" s="20">
        <f t="array" ref="G6">ICMS_Micro!G6*xtot!G6</f>
        <v>1449094992.9749758</v>
      </c>
      <c r="H6" s="20">
        <f t="array" ref="H6">ICMS_Micro!H6*xtot!H6</f>
        <v>729995460.80383694</v>
      </c>
      <c r="I6" s="20">
        <f t="array" ref="I6">ICMS_Micro!I6*xtot!I6</f>
        <v>34821044879.517792</v>
      </c>
      <c r="J6" s="20">
        <f t="array" ref="J6">ICMS_Micro!J6*xtot!J6</f>
        <v>265546718.63526762</v>
      </c>
      <c r="K6" s="20">
        <f t="array" ref="K6">ICMS_Micro!K6*xtot!K6</f>
        <v>1142826744.011512</v>
      </c>
      <c r="L6" s="20">
        <f t="array" ref="L6">ICMS_Micro!L6*xtot!L6</f>
        <v>392005864.37384599</v>
      </c>
      <c r="M6" s="20">
        <f t="array" ref="M6">ICMS_Micro!M6*xtot!M6</f>
        <v>536545099.1389004</v>
      </c>
      <c r="N6" s="20">
        <f t="array" ref="N6">ICMS_Micro!N6*xtot!N6</f>
        <v>871482134.17178154</v>
      </c>
      <c r="O6" s="20">
        <f t="array" ref="O6">ICMS_Micro!O6*xtot!O6</f>
        <v>917486577.43799484</v>
      </c>
      <c r="P6" s="20">
        <f t="array" ref="P6">ICMS_Micro!P6*xtot!P6</f>
        <v>166170876.34673676</v>
      </c>
      <c r="Q6" s="20">
        <f t="array" ref="Q6">ICMS_Micro!Q6*xtot!Q6</f>
        <v>1210031821.8047814</v>
      </c>
      <c r="R6" s="20">
        <f t="array" ref="R6">ICMS_Micro!R6*xtot!R6</f>
        <v>650903730.41295028</v>
      </c>
      <c r="S6" s="20">
        <f t="array" ref="S6">ICMS_Micro!S6*xtot!S6</f>
        <v>322437257.50903893</v>
      </c>
      <c r="T6" s="20">
        <f t="array" ref="T6">ICMS_Micro!T6*xtot!T6</f>
        <v>3539206819.4183145</v>
      </c>
      <c r="U6" s="20">
        <f t="array" ref="U6">ICMS_Micro!U6*xtot!U6</f>
        <v>808939987.51501632</v>
      </c>
      <c r="V6" s="20">
        <f t="array" ref="V6">ICMS_Micro!V6*xtot!V6</f>
        <v>2526944439.4058924</v>
      </c>
      <c r="W6" s="20">
        <f t="array" ref="W6">ICMS_Micro!W6*xtot!W6</f>
        <v>2197702803.9856505</v>
      </c>
      <c r="X6" s="20">
        <f t="array" ref="X6">ICMS_Micro!X6*xtot!X6</f>
        <v>46491571.645314373</v>
      </c>
      <c r="Y6" s="20">
        <f t="array" ref="Y6">ICMS_Micro!Y6*xtot!Y6</f>
        <v>316837774.27343297</v>
      </c>
      <c r="Z6" s="20">
        <f t="array" ref="Z6">ICMS_Micro!Z6*xtot!Z6</f>
        <v>2966748092.1845608</v>
      </c>
      <c r="AA6" s="20">
        <f t="array" ref="AA6">ICMS_Micro!AA6*xtot!AA6</f>
        <v>1866560636.2387493</v>
      </c>
      <c r="AB6" s="20">
        <f t="array" ref="AB6">ICMS_Micro!AB6*xtot!AB6</f>
        <v>289384744.68696845</v>
      </c>
      <c r="AC6" s="20">
        <f t="array" ref="AC6">ICMS_Micro!AC6*xtot!AC6</f>
        <v>582509689.01307631</v>
      </c>
      <c r="AD6" s="20">
        <f t="array" ref="AD6">ICMS_Micro!AD6*xtot!AD6</f>
        <v>808450262.08812714</v>
      </c>
      <c r="AE6" s="20">
        <f t="array" ref="AE6">ICMS_Micro!AE6*xtot!AE6</f>
        <v>719612599.24460649</v>
      </c>
      <c r="AF6" s="20">
        <f t="array" ref="AF6">ICMS_Micro!AF6*xtot!AF6</f>
        <v>823328525.5459255</v>
      </c>
      <c r="AG6" s="20">
        <f t="array" ref="AG6">ICMS_Micro!AG6*xtot!AG6</f>
        <v>3692292640.9022059</v>
      </c>
      <c r="AH6" s="20">
        <f t="array" ref="AH6">ICMS_Micro!AH6*xtot!AH6</f>
        <v>614927248.74317181</v>
      </c>
      <c r="AI6" s="20">
        <f t="array" ref="AI6">ICMS_Micro!AI6*xtot!AI6</f>
        <v>1108534762.949235</v>
      </c>
      <c r="AJ6" s="20">
        <f t="array" ref="AJ6">ICMS_Micro!AJ6*xtot!AJ6</f>
        <v>194019569.92757672</v>
      </c>
      <c r="AK6" s="20">
        <f t="array" ref="AK6">ICMS_Micro!AK6*xtot!AK6</f>
        <v>2709757813.785274</v>
      </c>
      <c r="AL6" s="20">
        <f t="array" ref="AL6">ICMS_Micro!AL6*xtot!AL6</f>
        <v>919192085.06739247</v>
      </c>
      <c r="AM6" s="20">
        <f t="array" ref="AM6">ICMS_Micro!AM6*xtot!AM6</f>
        <v>230434340.84089205</v>
      </c>
      <c r="AN6" s="20">
        <f t="array" ref="AN6">ICMS_Micro!AN6*xtot!AN6</f>
        <v>494951715.82145423</v>
      </c>
      <c r="AO6" s="20">
        <f t="array" ref="AO6">ICMS_Micro!AO6*xtot!AO6</f>
        <v>1053522619.1835042</v>
      </c>
      <c r="AP6" s="20">
        <f t="array" ref="AP6">ICMS_Micro!AP6*xtot!AP6</f>
        <v>823726653.80827081</v>
      </c>
      <c r="AQ6" s="20">
        <f t="array" ref="AQ6">ICMS_Micro!AQ6*xtot!AQ6</f>
        <v>885939431.44755816</v>
      </c>
      <c r="AR6" s="20">
        <f t="array" ref="AR6">ICMS_Micro!AR6*xtot!AR6</f>
        <v>1119598995.5430624</v>
      </c>
      <c r="AS6" s="20">
        <f t="array" ref="AS6">ICMS_Micro!AS6*xtot!AS6</f>
        <v>1600079592.4414933</v>
      </c>
      <c r="AT6" s="20">
        <f t="array" ref="AT6">ICMS_Micro!AT6*xtot!AT6</f>
        <v>1217526636.1619999</v>
      </c>
      <c r="AU6" s="20">
        <f t="array" ref="AU6">ICMS_Micro!AU6*xtot!AU6</f>
        <v>132133836.92708641</v>
      </c>
      <c r="AV6" s="20">
        <f t="array" ref="AV6">ICMS_Micro!AV6*xtot!AV6</f>
        <v>174701582.3901813</v>
      </c>
      <c r="AW6" s="20">
        <f t="array" ref="AW6">ICMS_Micro!AW6*xtot!AW6</f>
        <v>786677210.62706888</v>
      </c>
      <c r="AX6" s="20">
        <f t="array" ref="AX6">ICMS_Micro!AX6*xtot!AX6</f>
        <v>425452394.09323657</v>
      </c>
      <c r="AY6" s="20">
        <f t="array" ref="AY6">ICMS_Micro!AY6*xtot!AY6</f>
        <v>2303979044.695251</v>
      </c>
      <c r="AZ6" s="20">
        <f t="array" ref="AZ6">ICMS_Micro!AZ6*xtot!AZ6</f>
        <v>576529440.93334103</v>
      </c>
      <c r="BA6" s="20">
        <f t="array" ref="BA6">ICMS_Micro!BA6*xtot!BA6</f>
        <v>2457382722.6636028</v>
      </c>
      <c r="BB6" s="20">
        <f t="array" ref="BB6">ICMS_Micro!BB6*xtot!BB6</f>
        <v>702693066.47125459</v>
      </c>
      <c r="BC6" s="20">
        <f t="array" ref="BC6">ICMS_Micro!BC6*xtot!BC6</f>
        <v>499898834.66249382</v>
      </c>
      <c r="BD6" s="20">
        <f t="array" ref="BD6">ICMS_Micro!BD6*xtot!BD6</f>
        <v>677905429.05937612</v>
      </c>
      <c r="BE6" s="20">
        <f t="array" ref="BE6">ICMS_Micro!BE6*xtot!BE6</f>
        <v>719673154.99681485</v>
      </c>
      <c r="BF6" s="20">
        <f t="array" ref="BF6">ICMS_Micro!BF6*xtot!BF6</f>
        <v>1684628979.8663764</v>
      </c>
      <c r="BG6" s="20">
        <f t="array" ref="BG6">ICMS_Micro!BG6*xtot!BG6</f>
        <v>2251872163.9236827</v>
      </c>
      <c r="BH6" s="20">
        <f t="array" ref="BH6">ICMS_Micro!BH6*xtot!BH6</f>
        <v>880832411.83053112</v>
      </c>
      <c r="BI6" s="20">
        <f t="array" ref="BI6">ICMS_Micro!BI6*xtot!BI6</f>
        <v>593452432.04593349</v>
      </c>
      <c r="BJ6" s="20">
        <f t="array" ref="BJ6">ICMS_Micro!BJ6*xtot!BJ6</f>
        <v>1083356017.4590206</v>
      </c>
      <c r="BK6" s="20">
        <f t="array" ref="BK6">ICMS_Micro!BK6*xtot!BK6</f>
        <v>3057903585.6772418</v>
      </c>
      <c r="BL6" s="20">
        <f t="array" ref="BL6">ICMS_Micro!BL6*xtot!BL6</f>
        <v>5149648795.6344976</v>
      </c>
      <c r="BM6" s="20">
        <f t="array" ref="BM6">ICMS_Micro!BM6*xtot!BM6</f>
        <v>734984068.42425299</v>
      </c>
      <c r="BN6" s="20">
        <f t="array" ref="BN6">ICMS_Micro!BN6*xtot!BN6</f>
        <v>2671234276.242569</v>
      </c>
      <c r="BO6" s="20">
        <f t="array" ref="BO6">ICMS_Micro!BO6*xtot!BO6</f>
        <v>693889107.71635759</v>
      </c>
      <c r="BP6" s="23">
        <f t="array" ref="BP6">SUM(B6:BO6)</f>
        <v>108107408917.8436</v>
      </c>
    </row>
    <row r="7" spans="1:68" x14ac:dyDescent="0.3">
      <c r="A7" t="s">
        <v>327</v>
      </c>
      <c r="B7" s="20">
        <f t="array" ref="B7">ICMS_Micro!B7*xtot!B7</f>
        <v>4299131.5157287708</v>
      </c>
      <c r="C7" s="20">
        <f t="array" ref="C7">ICMS_Micro!C7*xtot!C7</f>
        <v>30747615.996222232</v>
      </c>
      <c r="D7" s="20">
        <f t="array" ref="D7">ICMS_Micro!D7*xtot!D7</f>
        <v>213596.81363646564</v>
      </c>
      <c r="E7" s="20">
        <f t="array" ref="E7">ICMS_Micro!E7*xtot!E7</f>
        <v>-1692858.009666027</v>
      </c>
      <c r="F7" s="20">
        <f t="array" ref="F7">ICMS_Micro!F7*xtot!F7</f>
        <v>2425720.9851564309</v>
      </c>
      <c r="G7" s="20">
        <f t="array" ref="G7">ICMS_Micro!G7*xtot!G7</f>
        <v>19141228.086659651</v>
      </c>
      <c r="H7" s="20">
        <f t="array" ref="H7">ICMS_Micro!H7*xtot!H7</f>
        <v>14123018.756889632</v>
      </c>
      <c r="I7" s="20">
        <f t="array" ref="I7">ICMS_Micro!I7*xtot!I7</f>
        <v>656647835.31169951</v>
      </c>
      <c r="J7" s="20">
        <f t="array" ref="J7">ICMS_Micro!J7*xtot!J7</f>
        <v>1295255.1137813495</v>
      </c>
      <c r="K7" s="20">
        <f t="array" ref="K7">ICMS_Micro!K7*xtot!K7</f>
        <v>20705601.693422098</v>
      </c>
      <c r="L7" s="20">
        <f t="array" ref="L7">ICMS_Micro!L7*xtot!L7</f>
        <v>-786967.20729905099</v>
      </c>
      <c r="M7" s="20">
        <f t="array" ref="M7">ICMS_Micro!M7*xtot!M7</f>
        <v>8920285.6511230357</v>
      </c>
      <c r="N7" s="20">
        <f t="array" ref="N7">ICMS_Micro!N7*xtot!N7</f>
        <v>13076225.53963518</v>
      </c>
      <c r="O7" s="20">
        <f t="array" ref="O7">ICMS_Micro!O7*xtot!O7</f>
        <v>11271388.729813512</v>
      </c>
      <c r="P7" s="20">
        <f t="array" ref="P7">ICMS_Micro!P7*xtot!P7</f>
        <v>93134.234469822273</v>
      </c>
      <c r="Q7" s="20">
        <f t="array" ref="Q7">ICMS_Micro!Q7*xtot!Q7</f>
        <v>31901258.9106405</v>
      </c>
      <c r="R7" s="20">
        <f t="array" ref="R7">ICMS_Micro!R7*xtot!R7</f>
        <v>1420426.2766954436</v>
      </c>
      <c r="S7" s="20">
        <f t="array" ref="S7">ICMS_Micro!S7*xtot!S7</f>
        <v>929887.12228463183</v>
      </c>
      <c r="T7" s="20">
        <f t="array" ref="T7">ICMS_Micro!T7*xtot!T7</f>
        <v>74872371.59119828</v>
      </c>
      <c r="U7" s="20">
        <f t="array" ref="U7">ICMS_Micro!U7*xtot!U7</f>
        <v>16213669.323804984</v>
      </c>
      <c r="V7" s="20">
        <f t="array" ref="V7">ICMS_Micro!V7*xtot!V7</f>
        <v>-5310695.2799192034</v>
      </c>
      <c r="W7" s="20">
        <f t="array" ref="W7">ICMS_Micro!W7*xtot!W7</f>
        <v>48772140.790148698</v>
      </c>
      <c r="X7" s="20">
        <f t="array" ref="X7">ICMS_Micro!X7*xtot!X7</f>
        <v>341583.53937085508</v>
      </c>
      <c r="Y7" s="20">
        <f t="array" ref="Y7">ICMS_Micro!Y7*xtot!Y7</f>
        <v>6854174.4522073073</v>
      </c>
      <c r="Z7" s="20">
        <f t="array" ref="Z7">ICMS_Micro!Z7*xtot!Z7</f>
        <v>88852452.640587509</v>
      </c>
      <c r="AA7" s="20">
        <f t="array" ref="AA7">ICMS_Micro!AA7*xtot!AA7</f>
        <v>50820228.547937289</v>
      </c>
      <c r="AB7" s="20">
        <f t="array" ref="AB7">ICMS_Micro!AB7*xtot!AB7</f>
        <v>411850.66271900857</v>
      </c>
      <c r="AC7" s="20">
        <f t="array" ref="AC7">ICMS_Micro!AC7*xtot!AC7</f>
        <v>7946595.5472126994</v>
      </c>
      <c r="AD7" s="20">
        <f t="array" ref="AD7">ICMS_Micro!AD7*xtot!AD7</f>
        <v>7195839.4265498137</v>
      </c>
      <c r="AE7" s="20">
        <f t="array" ref="AE7">ICMS_Micro!AE7*xtot!AE7</f>
        <v>15544999.586134253</v>
      </c>
      <c r="AF7" s="20">
        <f t="array" ref="AF7">ICMS_Micro!AF7*xtot!AF7</f>
        <v>5233524.3186592162</v>
      </c>
      <c r="AG7" s="20">
        <f t="array" ref="AG7">ICMS_Micro!AG7*xtot!AG7</f>
        <v>115248273.56972672</v>
      </c>
      <c r="AH7" s="20">
        <f t="array" ref="AH7">ICMS_Micro!AH7*xtot!AH7</f>
        <v>16426512.076977056</v>
      </c>
      <c r="AI7" s="20">
        <f t="array" ref="AI7">ICMS_Micro!AI7*xtot!AI7</f>
        <v>25769781.714800622</v>
      </c>
      <c r="AJ7" s="20">
        <f t="array" ref="AJ7">ICMS_Micro!AJ7*xtot!AJ7</f>
        <v>1451496.3872577867</v>
      </c>
      <c r="AK7" s="20">
        <f t="array" ref="AK7">ICMS_Micro!AK7*xtot!AK7</f>
        <v>23043009.291781362</v>
      </c>
      <c r="AL7" s="20">
        <f t="array" ref="AL7">ICMS_Micro!AL7*xtot!AL7</f>
        <v>21060344.337235253</v>
      </c>
      <c r="AM7" s="20">
        <f t="array" ref="AM7">ICMS_Micro!AM7*xtot!AM7</f>
        <v>1804482.0886657408</v>
      </c>
      <c r="AN7" s="20">
        <f t="array" ref="AN7">ICMS_Micro!AN7*xtot!AN7</f>
        <v>10447024.256818525</v>
      </c>
      <c r="AO7" s="20">
        <f t="array" ref="AO7">ICMS_Micro!AO7*xtot!AO7</f>
        <v>23370492.502676226</v>
      </c>
      <c r="AP7" s="20">
        <f t="array" ref="AP7">ICMS_Micro!AP7*xtot!AP7</f>
        <v>31045621.903010786</v>
      </c>
      <c r="AQ7" s="20">
        <f t="array" ref="AQ7">ICMS_Micro!AQ7*xtot!AQ7</f>
        <v>-2353110.4507416887</v>
      </c>
      <c r="AR7" s="20">
        <f t="array" ref="AR7">ICMS_Micro!AR7*xtot!AR7</f>
        <v>18217456.799178809</v>
      </c>
      <c r="AS7" s="20">
        <f t="array" ref="AS7">ICMS_Micro!AS7*xtot!AS7</f>
        <v>34352508.082807384</v>
      </c>
      <c r="AT7" s="20">
        <f t="array" ref="AT7">ICMS_Micro!AT7*xtot!AT7</f>
        <v>24277777.519660808</v>
      </c>
      <c r="AU7" s="20">
        <f t="array" ref="AU7">ICMS_Micro!AU7*xtot!AU7</f>
        <v>111589.62311044781</v>
      </c>
      <c r="AV7" s="20">
        <f t="array" ref="AV7">ICMS_Micro!AV7*xtot!AV7</f>
        <v>3497875.6530276891</v>
      </c>
      <c r="AW7" s="20">
        <f t="array" ref="AW7">ICMS_Micro!AW7*xtot!AW7</f>
        <v>11150857.409950208</v>
      </c>
      <c r="AX7" s="20">
        <f t="array" ref="AX7">ICMS_Micro!AX7*xtot!AX7</f>
        <v>-7942241.5819720542</v>
      </c>
      <c r="AY7" s="20">
        <f t="array" ref="AY7">ICMS_Micro!AY7*xtot!AY7</f>
        <v>28815753.94079366</v>
      </c>
      <c r="AZ7" s="20">
        <f t="array" ref="AZ7">ICMS_Micro!AZ7*xtot!AZ7</f>
        <v>9261695.1317960788</v>
      </c>
      <c r="BA7" s="20">
        <f t="array" ref="BA7">ICMS_Micro!BA7*xtot!BA7</f>
        <v>49836751.602820404</v>
      </c>
      <c r="BB7" s="20">
        <f t="array" ref="BB7">ICMS_Micro!BB7*xtot!BB7</f>
        <v>4903061.6827258896</v>
      </c>
      <c r="BC7" s="20">
        <f t="array" ref="BC7">ICMS_Micro!BC7*xtot!BC7</f>
        <v>7997341.9208793258</v>
      </c>
      <c r="BD7" s="20">
        <f t="array" ref="BD7">ICMS_Micro!BD7*xtot!BD7</f>
        <v>14330417.924370529</v>
      </c>
      <c r="BE7" s="20">
        <f t="array" ref="BE7">ICMS_Micro!BE7*xtot!BE7</f>
        <v>5268959.0015383437</v>
      </c>
      <c r="BF7" s="20">
        <f t="array" ref="BF7">ICMS_Micro!BF7*xtot!BF7</f>
        <v>15384634.247238403</v>
      </c>
      <c r="BG7" s="20">
        <f t="array" ref="BG7">ICMS_Micro!BG7*xtot!BG7</f>
        <v>52947026.695897475</v>
      </c>
      <c r="BH7" s="20">
        <f t="array" ref="BH7">ICMS_Micro!BH7*xtot!BH7</f>
        <v>17826814.677253377</v>
      </c>
      <c r="BI7" s="20">
        <f t="array" ref="BI7">ICMS_Micro!BI7*xtot!BI7</f>
        <v>6538385.1321597537</v>
      </c>
      <c r="BJ7" s="20">
        <f t="array" ref="BJ7">ICMS_Micro!BJ7*xtot!BJ7</f>
        <v>28876714.244455133</v>
      </c>
      <c r="BK7" s="20">
        <f t="array" ref="BK7">ICMS_Micro!BK7*xtot!BK7</f>
        <v>84534276.393381253</v>
      </c>
      <c r="BL7" s="20">
        <f t="array" ref="BL7">ICMS_Micro!BL7*xtot!BL7</f>
        <v>155007184.92262378</v>
      </c>
      <c r="BM7" s="20">
        <f t="array" ref="BM7">ICMS_Micro!BM7*xtot!BM7</f>
        <v>19605062.2502869</v>
      </c>
      <c r="BN7" s="20">
        <f t="array" ref="BN7">ICMS_Micro!BN7*xtot!BN7</f>
        <v>42525712.72563526</v>
      </c>
      <c r="BO7" s="20">
        <f t="array" ref="BO7">ICMS_Micro!BO7*xtot!BO7</f>
        <v>12882413.215495996</v>
      </c>
      <c r="BP7" s="23">
        <f t="array" ref="BP7">SUM(B7:BO7)</f>
        <v>2040002477.560828</v>
      </c>
    </row>
    <row r="9" spans="1:68" x14ac:dyDescent="0.3">
      <c r="BP9" s="22">
        <f t="array" ref="BP9">SUM(BP2:BP7)</f>
        <v>248320387335.01035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ICMS</vt:lpstr>
      <vt:lpstr>xtot</vt:lpstr>
      <vt:lpstr>Make</vt:lpstr>
      <vt:lpstr>Share_Make </vt:lpstr>
      <vt:lpstr>ICMS_Micro</vt:lpstr>
      <vt:lpstr>Impacto_Imposto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Perobelli</dc:creator>
  <cp:lastModifiedBy>Guilherme Perobelli</cp:lastModifiedBy>
  <dcterms:created xsi:type="dcterms:W3CDTF">2026-07-27T17:59:44Z</dcterms:created>
  <dcterms:modified xsi:type="dcterms:W3CDTF">2026-07-27T18:28:19Z</dcterms:modified>
</cp:coreProperties>
</file>