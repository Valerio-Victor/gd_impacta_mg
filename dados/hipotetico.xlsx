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\Downloads\"/>
    </mc:Choice>
  </mc:AlternateContent>
  <xr:revisionPtr revIDLastSave="0" documentId="13_ncr:1_{11D4DA5A-D506-41AD-8370-CEA27F3AE705}" xr6:coauthVersionLast="47" xr6:coauthVersionMax="47" xr10:uidLastSave="{00000000-0000-0000-0000-000000000000}"/>
  <bookViews>
    <workbookView xWindow="-108" yWindow="-108" windowWidth="23256" windowHeight="12456" firstSheet="1" activeTab="6" xr2:uid="{EC72A986-D395-4E7B-BF2E-FC9C859118DD}"/>
  </bookViews>
  <sheets>
    <sheet name="Zone Macro" sheetId="1" r:id="rId1"/>
    <sheet name="Main Macros (REG)" sheetId="6" r:id="rId2"/>
    <sheet name="PIB por MicroReg" sheetId="2" r:id="rId3"/>
    <sheet name="Consumo Familias" sheetId="4" r:id="rId4"/>
    <sheet name="Produção Ind" sheetId="5" r:id="rId5"/>
    <sheet name="Invest Ind" sheetId="7" r:id="rId6"/>
    <sheet name="PIB (Var Monetaria)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4" i="8" l="1" a="1"/>
  <c r="G34" i="8" s="1"/>
  <c r="G56" i="8" a="1"/>
  <c r="G56" i="8"/>
  <c r="G61" i="8" a="1"/>
  <c r="G61" i="8" s="1"/>
  <c r="G58" i="8" a="1"/>
  <c r="G58" i="8" s="1"/>
  <c r="G15" i="8" a="1"/>
  <c r="G15" i="8" s="1"/>
  <c r="G53" i="8" a="1"/>
  <c r="G53" i="8" s="1"/>
  <c r="G2" i="8" a="1"/>
  <c r="G2" i="8" s="1"/>
  <c r="G48" i="8" a="1"/>
  <c r="G48" i="8"/>
  <c r="G26" i="8" a="1"/>
  <c r="G26" i="8" s="1"/>
  <c r="G54" i="8" a="1"/>
  <c r="G54" i="8"/>
  <c r="G55" i="8" a="1"/>
  <c r="G55" i="8"/>
  <c r="G40" i="8" a="1"/>
  <c r="G40" i="8" s="1"/>
  <c r="G43" i="8" a="1"/>
  <c r="G43" i="8" s="1"/>
  <c r="G64" i="8" a="1"/>
  <c r="G64" i="8" s="1"/>
  <c r="G18" i="8" a="1"/>
  <c r="G18" i="8"/>
  <c r="G33" i="8" a="1"/>
  <c r="G33" i="8" s="1"/>
  <c r="G60" i="8" a="1"/>
  <c r="G60" i="8" s="1"/>
  <c r="G5" i="8" a="1"/>
  <c r="G5" i="8" s="1"/>
  <c r="G23" i="8" a="1"/>
  <c r="G23" i="8" s="1"/>
  <c r="G32" i="8" a="1"/>
  <c r="G32" i="8"/>
  <c r="G13" i="8" a="1"/>
  <c r="G13" i="8" s="1"/>
  <c r="G66" i="8" a="1"/>
  <c r="G66" i="8"/>
  <c r="G59" i="8" a="1"/>
  <c r="G59" i="8"/>
  <c r="G6" i="8" a="1"/>
  <c r="G6" i="8" s="1"/>
  <c r="G10" i="8" a="1"/>
  <c r="G10" i="8" s="1"/>
  <c r="G51" i="8" a="1"/>
  <c r="G51" i="8" s="1"/>
  <c r="G49" i="8" a="1"/>
  <c r="G49" i="8" s="1"/>
  <c r="G39" i="8" a="1"/>
  <c r="G39" i="8"/>
  <c r="G38" i="8" a="1"/>
  <c r="G38" i="8" s="1"/>
  <c r="G42" i="8" a="1"/>
  <c r="G42" i="8" s="1"/>
  <c r="G11" i="8" a="1"/>
  <c r="G11" i="8" s="1"/>
  <c r="G41" i="8" a="1"/>
  <c r="G41" i="8"/>
  <c r="G30" i="8" a="1"/>
  <c r="G30" i="8" s="1"/>
  <c r="G63" i="8" a="1"/>
  <c r="G63" i="8"/>
  <c r="G4" i="8" a="1"/>
  <c r="G4" i="8"/>
  <c r="G25" i="8" a="1"/>
  <c r="G25" i="8" s="1"/>
  <c r="G62" i="8" a="1"/>
  <c r="G62" i="8" s="1"/>
  <c r="G57" i="8" a="1"/>
  <c r="G57" i="8"/>
  <c r="G28" i="8" a="1"/>
  <c r="G28" i="8"/>
  <c r="G37" i="8" a="1"/>
  <c r="G37" i="8" s="1"/>
  <c r="G8" i="8" a="1"/>
  <c r="G8" i="8"/>
  <c r="G24" i="8" a="1"/>
  <c r="G24" i="8"/>
  <c r="G14" i="8" a="1"/>
  <c r="G14" i="8" s="1"/>
  <c r="G17" i="8" a="1"/>
  <c r="G17" i="8" s="1"/>
  <c r="G67" i="8" a="1"/>
  <c r="G67" i="8"/>
  <c r="G65" i="8" a="1"/>
  <c r="G65" i="8"/>
  <c r="G22" i="8" a="1"/>
  <c r="G22" i="8" s="1"/>
  <c r="G36" i="8" a="1"/>
  <c r="G36" i="8" s="1"/>
  <c r="G16" i="8" a="1"/>
  <c r="G16" i="8" s="1"/>
  <c r="G52" i="8" a="1"/>
  <c r="G52" i="8"/>
  <c r="G19" i="8" a="1"/>
  <c r="G19" i="8" s="1"/>
  <c r="G31" i="8" a="1"/>
  <c r="G31" i="8"/>
  <c r="G46" i="8" a="1"/>
  <c r="G46" i="8"/>
  <c r="G50" i="8" a="1"/>
  <c r="G50" i="8" s="1"/>
  <c r="G44" i="8" a="1"/>
  <c r="G44" i="8" s="1"/>
  <c r="G20" i="8" a="1"/>
  <c r="G20" i="8" s="1"/>
  <c r="G7" i="8" a="1"/>
  <c r="G7" i="8" s="1"/>
  <c r="G27" i="8" a="1"/>
  <c r="G27" i="8"/>
  <c r="G29" i="8" a="1"/>
  <c r="G29" i="8" s="1"/>
  <c r="G21" i="8" a="1"/>
  <c r="G21" i="8" s="1"/>
  <c r="G9" i="8" a="1"/>
  <c r="G9" i="8" s="1"/>
  <c r="G3" i="8" a="1"/>
  <c r="G3" i="8"/>
  <c r="G35" i="8" a="1"/>
  <c r="G35" i="8" s="1"/>
  <c r="G12" i="8" a="1"/>
  <c r="G12" i="8" s="1"/>
  <c r="G45" i="8" a="1"/>
  <c r="G45" i="8"/>
  <c r="G47" i="8" a="1"/>
  <c r="G47" i="8" s="1"/>
</calcChain>
</file>

<file path=xl/sharedStrings.xml><?xml version="1.0" encoding="utf-8"?>
<sst xmlns="http://schemas.openxmlformats.org/spreadsheetml/2006/main" count="452" uniqueCount="100">
  <si>
    <t>ZoneMacro(B)</t>
  </si>
  <si>
    <t>Consumo das Famílias</t>
  </si>
  <si>
    <t>Investimento Real</t>
  </si>
  <si>
    <t>Consumo do Governo</t>
  </si>
  <si>
    <t>Volume de Exportações</t>
  </si>
  <si>
    <t>Volume de Importação</t>
  </si>
  <si>
    <t>PIB Real</t>
  </si>
  <si>
    <t>Emprego Agregado</t>
  </si>
  <si>
    <t>Salário Real Médio</t>
  </si>
  <si>
    <t>Estoque de Capital Médio</t>
  </si>
  <si>
    <t>Deflator do PIB</t>
  </si>
  <si>
    <t>Índice de Preços</t>
  </si>
  <si>
    <t>MinasGerais %</t>
  </si>
  <si>
    <t>RestoBrasil %</t>
  </si>
  <si>
    <t>1 Aimores</t>
  </si>
  <si>
    <t>2 Alfenas</t>
  </si>
  <si>
    <t>3 Almenara</t>
  </si>
  <si>
    <t>4 Andrelandia</t>
  </si>
  <si>
    <t>5 Aracuai</t>
  </si>
  <si>
    <t>6 Araxa</t>
  </si>
  <si>
    <t>7 Barbacena</t>
  </si>
  <si>
    <t>8 BeloHzte</t>
  </si>
  <si>
    <t>9 Bocaiuva</t>
  </si>
  <si>
    <t>10 BomDespacho</t>
  </si>
  <si>
    <t>11 CampoBelo</t>
  </si>
  <si>
    <t>12 Capelinha</t>
  </si>
  <si>
    <t>13 Caratinga</t>
  </si>
  <si>
    <t>14 Cataguases</t>
  </si>
  <si>
    <t>15 ConcMatoDen</t>
  </si>
  <si>
    <t>16 Lafaiete</t>
  </si>
  <si>
    <t>17 Curvelo</t>
  </si>
  <si>
    <t>18 Diamantina</t>
  </si>
  <si>
    <t>19 Divinopolis</t>
  </si>
  <si>
    <t>20 Formiga</t>
  </si>
  <si>
    <t>21 Frutal</t>
  </si>
  <si>
    <t>22 GovValad</t>
  </si>
  <si>
    <t>23 GraoMogol</t>
  </si>
  <si>
    <t>24 Guanhaes</t>
  </si>
  <si>
    <t>25 Ipatinga</t>
  </si>
  <si>
    <t>26 Itabira</t>
  </si>
  <si>
    <t>27 Itaguara</t>
  </si>
  <si>
    <t>28 Itajuba</t>
  </si>
  <si>
    <t>29 Ituiutaba</t>
  </si>
  <si>
    <t>30 Janauba</t>
  </si>
  <si>
    <t>31 Januaria</t>
  </si>
  <si>
    <t>32 JuizFora</t>
  </si>
  <si>
    <t>33 Lavras</t>
  </si>
  <si>
    <t>34 Manhuau</t>
  </si>
  <si>
    <t>35 Mantena</t>
  </si>
  <si>
    <t>36 MontesClaros</t>
  </si>
  <si>
    <t>37 Muriae</t>
  </si>
  <si>
    <t>38 Nanuque</t>
  </si>
  <si>
    <t>39 Oliveira</t>
  </si>
  <si>
    <t>40 OuroPreto</t>
  </si>
  <si>
    <t>41 ParaMinas</t>
  </si>
  <si>
    <t>42 Paracatu</t>
  </si>
  <si>
    <t>43 Passos</t>
  </si>
  <si>
    <t>44 PatosMinas</t>
  </si>
  <si>
    <t>45 Patrocinio</t>
  </si>
  <si>
    <t>46 Pecanha</t>
  </si>
  <si>
    <t>47 PedraAzul</t>
  </si>
  <si>
    <t>48 Pirapora</t>
  </si>
  <si>
    <t>49 Piui</t>
  </si>
  <si>
    <t>50 PocosCaldas</t>
  </si>
  <si>
    <t>51 PonteNova</t>
  </si>
  <si>
    <t>52 PousoAlegre</t>
  </si>
  <si>
    <t>53 Salinas</t>
  </si>
  <si>
    <t>54 StaRitaSapuc</t>
  </si>
  <si>
    <t>55 SaoJoaoDRei</t>
  </si>
  <si>
    <t>56 SaoLoureno</t>
  </si>
  <si>
    <t>57 SaoSebParai</t>
  </si>
  <si>
    <t>58 SeteLagoas</t>
  </si>
  <si>
    <t>59 TeofOtoni</t>
  </si>
  <si>
    <t>60 TresMarias</t>
  </si>
  <si>
    <t>61 Uba</t>
  </si>
  <si>
    <t>62 Uberaba</t>
  </si>
  <si>
    <t>63 Uberlandia</t>
  </si>
  <si>
    <t>64 Unai</t>
  </si>
  <si>
    <t>65 Varginha</t>
  </si>
  <si>
    <t>66 Vicosa</t>
  </si>
  <si>
    <t>67 RestoBrasil</t>
  </si>
  <si>
    <t>xgdpexp (PIB)</t>
  </si>
  <si>
    <t>%</t>
  </si>
  <si>
    <t>xhoutot(B)</t>
  </si>
  <si>
    <t>MainMacro(B)</t>
  </si>
  <si>
    <t>xtot(B)</t>
  </si>
  <si>
    <t>1 Agropec</t>
  </si>
  <si>
    <t>2 Extrativa</t>
  </si>
  <si>
    <t>3 Industria</t>
  </si>
  <si>
    <t>6 Servico</t>
  </si>
  <si>
    <t>7 ComAtaVar</t>
  </si>
  <si>
    <t>8 TranspCarga</t>
  </si>
  <si>
    <t>xinvitot(B)</t>
  </si>
  <si>
    <t>delXGDPEXP(B)</t>
  </si>
  <si>
    <t>1 HOU</t>
  </si>
  <si>
    <t>2 INV</t>
  </si>
  <si>
    <t>3 GOV</t>
  </si>
  <si>
    <t>4 STOCKS</t>
  </si>
  <si>
    <t>5 EXP</t>
  </si>
  <si>
    <t>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</si>
</sst>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0C11-465A-4E85-A84A-AC8408652109}">
  <dimension ref="A1:C12"/>
  <sheetViews>
    <sheetView workbookViewId="0">
      <selection activeCell="A20" sqref="A20"/>
    </sheetView>
  </sheetViews>
  <sheetFormatPr defaultRowHeight="14.4" x14ac:dyDescent="0.3"/>
  <cols>
    <col min="1" max="1" width="20.77734375" bestFit="1" customWidth="1"/>
    <col min="2" max="2" width="12.6640625" bestFit="1" customWidth="1"/>
    <col min="3" max="3" width="11.5546875" bestFit="1" customWidth="1"/>
  </cols>
  <sheetData>
    <row r="1" spans="1:3" x14ac:dyDescent="0.3">
      <c r="A1" s="3" t="s">
        <v>0</v>
      </c>
      <c r="B1" s="3" t="s">
        <v>12</v>
      </c>
      <c r="C1" s="3" t="s">
        <v>13</v>
      </c>
    </row>
    <row r="2" spans="1:3" x14ac:dyDescent="0.3">
      <c r="A2" s="2" t="s">
        <v>1</v>
      </c>
      <c r="B2" s="2">
        <v>10.509</v>
      </c>
      <c r="C2" s="2">
        <v>1.758</v>
      </c>
    </row>
    <row r="3" spans="1:3" x14ac:dyDescent="0.3">
      <c r="A3" s="2" t="s">
        <v>2</v>
      </c>
      <c r="B3" s="2">
        <v>4.1260000000000003</v>
      </c>
      <c r="C3" s="2">
        <v>-0.19500000000000001</v>
      </c>
    </row>
    <row r="4" spans="1:3" x14ac:dyDescent="0.3">
      <c r="A4" s="2" t="s">
        <v>3</v>
      </c>
      <c r="B4" s="2">
        <v>0</v>
      </c>
      <c r="C4" s="2">
        <v>0</v>
      </c>
    </row>
    <row r="5" spans="1:3" x14ac:dyDescent="0.3">
      <c r="A5" s="2" t="s">
        <v>4</v>
      </c>
      <c r="B5" s="2">
        <v>4.1420000000000003</v>
      </c>
      <c r="C5" s="2">
        <v>3.2509999999999999</v>
      </c>
    </row>
    <row r="6" spans="1:3" x14ac:dyDescent="0.3">
      <c r="A6" s="2" t="s">
        <v>5</v>
      </c>
      <c r="B6" s="2">
        <v>1.1160000000000001</v>
      </c>
      <c r="C6" s="2">
        <v>-4.2290000000000001</v>
      </c>
    </row>
    <row r="7" spans="1:3" x14ac:dyDescent="0.3">
      <c r="A7" s="2" t="s">
        <v>6</v>
      </c>
      <c r="B7" s="2">
        <v>5.1970000000000001</v>
      </c>
      <c r="C7" s="2">
        <v>2.4420000000000002</v>
      </c>
    </row>
    <row r="8" spans="1:3" x14ac:dyDescent="0.3">
      <c r="A8" s="2" t="s">
        <v>7</v>
      </c>
      <c r="B8" s="2">
        <v>2.351</v>
      </c>
      <c r="C8" s="2">
        <v>-0.22500000000000001</v>
      </c>
    </row>
    <row r="9" spans="1:3" x14ac:dyDescent="0.3">
      <c r="A9" s="2" t="s">
        <v>8</v>
      </c>
      <c r="B9" s="2">
        <v>7.1260000000000003</v>
      </c>
      <c r="C9" s="2">
        <v>4.4509999999999996</v>
      </c>
    </row>
    <row r="10" spans="1:3" x14ac:dyDescent="0.3">
      <c r="A10" s="2" t="s">
        <v>9</v>
      </c>
      <c r="B10" s="2">
        <v>4.1260000000000003</v>
      </c>
      <c r="C10" s="2">
        <v>-0.19500000000000001</v>
      </c>
    </row>
    <row r="11" spans="1:3" x14ac:dyDescent="0.3">
      <c r="A11" s="2" t="s">
        <v>10</v>
      </c>
      <c r="B11" s="2">
        <v>-2.61</v>
      </c>
      <c r="C11" s="2">
        <v>-3.9590000000000001</v>
      </c>
    </row>
    <row r="12" spans="1:3" x14ac:dyDescent="0.3">
      <c r="A12" s="3" t="s">
        <v>11</v>
      </c>
      <c r="B12" s="3">
        <v>-3.8540000000000001</v>
      </c>
      <c r="C12" s="3">
        <v>-4.1500000000000004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1EBE4-D9E7-41CE-8535-4C34F51650DA}">
  <dimension ref="A1:BP12"/>
  <sheetViews>
    <sheetView workbookViewId="0">
      <selection activeCell="C21" sqref="C21"/>
    </sheetView>
  </sheetViews>
  <sheetFormatPr defaultRowHeight="14.4" x14ac:dyDescent="0.3"/>
  <cols>
    <col min="1" max="1" width="20.77734375" bestFit="1" customWidth="1"/>
  </cols>
  <sheetData>
    <row r="1" spans="1:68" x14ac:dyDescent="0.3">
      <c r="A1" s="4" t="s">
        <v>84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42</v>
      </c>
      <c r="AE1" s="4" t="s">
        <v>43</v>
      </c>
      <c r="AF1" s="4" t="s">
        <v>44</v>
      </c>
      <c r="AG1" s="4" t="s">
        <v>45</v>
      </c>
      <c r="AH1" s="4" t="s">
        <v>46</v>
      </c>
      <c r="AI1" s="4" t="s">
        <v>47</v>
      </c>
      <c r="AJ1" s="4" t="s">
        <v>48</v>
      </c>
      <c r="AK1" s="4" t="s">
        <v>49</v>
      </c>
      <c r="AL1" s="4" t="s">
        <v>50</v>
      </c>
      <c r="AM1" s="4" t="s">
        <v>51</v>
      </c>
      <c r="AN1" s="4" t="s">
        <v>52</v>
      </c>
      <c r="AO1" s="4" t="s">
        <v>53</v>
      </c>
      <c r="AP1" s="4" t="s">
        <v>54</v>
      </c>
      <c r="AQ1" s="4" t="s">
        <v>55</v>
      </c>
      <c r="AR1" s="4" t="s">
        <v>56</v>
      </c>
      <c r="AS1" s="4" t="s">
        <v>57</v>
      </c>
      <c r="AT1" s="4" t="s">
        <v>58</v>
      </c>
      <c r="AU1" s="4" t="s">
        <v>59</v>
      </c>
      <c r="AV1" s="4" t="s">
        <v>60</v>
      </c>
      <c r="AW1" s="4" t="s">
        <v>61</v>
      </c>
      <c r="AX1" s="4" t="s">
        <v>62</v>
      </c>
      <c r="AY1" s="4" t="s">
        <v>63</v>
      </c>
      <c r="AZ1" s="4" t="s">
        <v>64</v>
      </c>
      <c r="BA1" s="4" t="s">
        <v>65</v>
      </c>
      <c r="BB1" s="4" t="s">
        <v>66</v>
      </c>
      <c r="BC1" s="4" t="s">
        <v>67</v>
      </c>
      <c r="BD1" s="4" t="s">
        <v>68</v>
      </c>
      <c r="BE1" s="4" t="s">
        <v>69</v>
      </c>
      <c r="BF1" s="4" t="s">
        <v>70</v>
      </c>
      <c r="BG1" s="4" t="s">
        <v>71</v>
      </c>
      <c r="BH1" s="4" t="s">
        <v>72</v>
      </c>
      <c r="BI1" s="4" t="s">
        <v>73</v>
      </c>
      <c r="BJ1" s="4" t="s">
        <v>74</v>
      </c>
      <c r="BK1" s="4" t="s">
        <v>75</v>
      </c>
      <c r="BL1" s="4" t="s">
        <v>76</v>
      </c>
      <c r="BM1" s="4" t="s">
        <v>77</v>
      </c>
      <c r="BN1" s="4" t="s">
        <v>78</v>
      </c>
      <c r="BO1" s="4" t="s">
        <v>79</v>
      </c>
      <c r="BP1" s="4" t="s">
        <v>80</v>
      </c>
    </row>
    <row r="2" spans="1:68" x14ac:dyDescent="0.3">
      <c r="A2" s="4" t="s">
        <v>1</v>
      </c>
      <c r="B2" s="4">
        <v>20.297999999999998</v>
      </c>
      <c r="C2" s="4">
        <v>11.081</v>
      </c>
      <c r="D2" s="4">
        <v>15.154</v>
      </c>
      <c r="E2" s="4">
        <v>12.63</v>
      </c>
      <c r="F2" s="4">
        <v>16.504000000000001</v>
      </c>
      <c r="G2" s="4">
        <v>9.9269999999999996</v>
      </c>
      <c r="H2" s="4">
        <v>9.1150000000000002</v>
      </c>
      <c r="I2" s="4">
        <v>6.2149999999999999</v>
      </c>
      <c r="J2" s="4">
        <v>21.728999999999999</v>
      </c>
      <c r="K2" s="4">
        <v>17.863</v>
      </c>
      <c r="L2" s="4">
        <v>15.663</v>
      </c>
      <c r="M2" s="4">
        <v>16.408999999999999</v>
      </c>
      <c r="N2" s="4">
        <v>15.352</v>
      </c>
      <c r="O2" s="4">
        <v>11.782999999999999</v>
      </c>
      <c r="P2" s="4">
        <v>7.0529999999999999</v>
      </c>
      <c r="Q2" s="4">
        <v>9.375</v>
      </c>
      <c r="R2" s="4">
        <v>22.091000000000001</v>
      </c>
      <c r="S2" s="4">
        <v>11.167</v>
      </c>
      <c r="T2" s="4">
        <v>17.058</v>
      </c>
      <c r="U2" s="4">
        <v>18.677</v>
      </c>
      <c r="V2" s="4">
        <v>13.343</v>
      </c>
      <c r="W2" s="4">
        <v>14.39</v>
      </c>
      <c r="X2" s="4">
        <v>10.67</v>
      </c>
      <c r="Y2" s="4">
        <v>11.992000000000001</v>
      </c>
      <c r="Z2" s="4">
        <v>12.723000000000001</v>
      </c>
      <c r="AA2" s="4">
        <v>10.895</v>
      </c>
      <c r="AB2" s="4">
        <v>13.452</v>
      </c>
      <c r="AC2" s="4">
        <v>8.2829999999999995</v>
      </c>
      <c r="AD2" s="4">
        <v>13.461</v>
      </c>
      <c r="AE2" s="4">
        <v>21.574999999999999</v>
      </c>
      <c r="AF2" s="4">
        <v>13.766999999999999</v>
      </c>
      <c r="AG2" s="4">
        <v>6.1980000000000004</v>
      </c>
      <c r="AH2" s="4">
        <v>11.856</v>
      </c>
      <c r="AI2" s="4">
        <v>14.292999999999999</v>
      </c>
      <c r="AJ2" s="4">
        <v>12.920999999999999</v>
      </c>
      <c r="AK2" s="4">
        <v>18.271999999999998</v>
      </c>
      <c r="AL2" s="4">
        <v>17.617999999999999</v>
      </c>
      <c r="AM2" s="4">
        <v>6.4459999999999997</v>
      </c>
      <c r="AN2" s="4">
        <v>11.803000000000001</v>
      </c>
      <c r="AO2" s="4">
        <v>6.8310000000000004</v>
      </c>
      <c r="AP2" s="4">
        <v>13.69</v>
      </c>
      <c r="AQ2" s="4">
        <v>24.696999999999999</v>
      </c>
      <c r="AR2" s="4">
        <v>15.750999999999999</v>
      </c>
      <c r="AS2" s="4">
        <v>15.439</v>
      </c>
      <c r="AT2" s="4">
        <v>16.134</v>
      </c>
      <c r="AU2" s="4">
        <v>8.1639999999999997</v>
      </c>
      <c r="AV2" s="4">
        <v>7.6479999999999997</v>
      </c>
      <c r="AW2" s="4">
        <v>24.484000000000002</v>
      </c>
      <c r="AX2" s="4">
        <v>22.971</v>
      </c>
      <c r="AY2" s="4">
        <v>10.025</v>
      </c>
      <c r="AZ2" s="4">
        <v>12.273</v>
      </c>
      <c r="BA2" s="4">
        <v>5.4610000000000003</v>
      </c>
      <c r="BB2" s="4">
        <v>28.657</v>
      </c>
      <c r="BC2" s="4">
        <v>11.734999999999999</v>
      </c>
      <c r="BD2" s="4">
        <v>7.4870000000000001</v>
      </c>
      <c r="BE2" s="4">
        <v>11.193</v>
      </c>
      <c r="BF2" s="4">
        <v>13.195</v>
      </c>
      <c r="BG2" s="4">
        <v>17.495000000000001</v>
      </c>
      <c r="BH2" s="4">
        <v>20.721</v>
      </c>
      <c r="BI2" s="4">
        <v>16.488</v>
      </c>
      <c r="BJ2" s="4">
        <v>14.801</v>
      </c>
      <c r="BK2" s="4">
        <v>8.6340000000000003</v>
      </c>
      <c r="BL2" s="4">
        <v>7.4889999999999999</v>
      </c>
      <c r="BM2" s="4">
        <v>12.314</v>
      </c>
      <c r="BN2" s="4">
        <v>12.279</v>
      </c>
      <c r="BO2" s="4">
        <v>10.973000000000001</v>
      </c>
      <c r="BP2" s="4">
        <v>1.758</v>
      </c>
    </row>
    <row r="3" spans="1:68" x14ac:dyDescent="0.3">
      <c r="A3" s="4" t="s">
        <v>2</v>
      </c>
      <c r="B3" s="4">
        <v>5.5549999999999997</v>
      </c>
      <c r="C3" s="4">
        <v>5.5149999999999997</v>
      </c>
      <c r="D3" s="4">
        <v>9.6959999999999997</v>
      </c>
      <c r="E3" s="4">
        <v>8.827</v>
      </c>
      <c r="F3" s="4">
        <v>10.135</v>
      </c>
      <c r="G3" s="4">
        <v>4.359</v>
      </c>
      <c r="H3" s="4">
        <v>2.79</v>
      </c>
      <c r="I3" s="4">
        <v>1.113</v>
      </c>
      <c r="J3" s="4">
        <v>15.579000000000001</v>
      </c>
      <c r="K3" s="4">
        <v>9.4890000000000008</v>
      </c>
      <c r="L3" s="4">
        <v>9.0730000000000004</v>
      </c>
      <c r="M3" s="4">
        <v>8.9060000000000006</v>
      </c>
      <c r="N3" s="4">
        <v>5.7830000000000004</v>
      </c>
      <c r="O3" s="4">
        <v>-9.2999999999999999E-2</v>
      </c>
      <c r="P3" s="4">
        <v>5.2510000000000003</v>
      </c>
      <c r="Q3" s="4">
        <v>6.6539999999999999</v>
      </c>
      <c r="R3" s="4">
        <v>10.166</v>
      </c>
      <c r="S3" s="4">
        <v>8.4359999999999999</v>
      </c>
      <c r="T3" s="4">
        <v>8.3510000000000009</v>
      </c>
      <c r="U3" s="4">
        <v>11.262</v>
      </c>
      <c r="V3" s="4">
        <v>-3.964</v>
      </c>
      <c r="W3" s="4">
        <v>6.0339999999999998</v>
      </c>
      <c r="X3" s="4">
        <v>7.9359999999999999</v>
      </c>
      <c r="Y3" s="4">
        <v>6.7750000000000004</v>
      </c>
      <c r="Z3" s="4">
        <v>6.3339999999999996</v>
      </c>
      <c r="AA3" s="4">
        <v>7.03</v>
      </c>
      <c r="AB3" s="4">
        <v>8.7110000000000003</v>
      </c>
      <c r="AC3" s="4">
        <v>5.1319999999999997</v>
      </c>
      <c r="AD3" s="4">
        <v>4.9980000000000002</v>
      </c>
      <c r="AE3" s="4">
        <v>7.8440000000000003</v>
      </c>
      <c r="AF3" s="4">
        <v>8.9120000000000008</v>
      </c>
      <c r="AG3" s="4">
        <v>3.427</v>
      </c>
      <c r="AH3" s="4">
        <v>6.8540000000000001</v>
      </c>
      <c r="AI3" s="4">
        <v>6.048</v>
      </c>
      <c r="AJ3" s="4">
        <v>7.2069999999999999</v>
      </c>
      <c r="AK3" s="4">
        <v>10.952999999999999</v>
      </c>
      <c r="AL3" s="4">
        <v>7.0910000000000002</v>
      </c>
      <c r="AM3" s="4">
        <v>4.1440000000000001</v>
      </c>
      <c r="AN3" s="4">
        <v>6.641</v>
      </c>
      <c r="AO3" s="4">
        <v>3.2240000000000002</v>
      </c>
      <c r="AP3" s="4">
        <v>6.7169999999999996</v>
      </c>
      <c r="AQ3" s="4">
        <v>7.3979999999999997</v>
      </c>
      <c r="AR3" s="4">
        <v>1.26</v>
      </c>
      <c r="AS3" s="4">
        <v>7.5270000000000001</v>
      </c>
      <c r="AT3" s="4">
        <v>7.5170000000000003</v>
      </c>
      <c r="AU3" s="4">
        <v>5.7160000000000002</v>
      </c>
      <c r="AV3" s="4">
        <v>5.5430000000000001</v>
      </c>
      <c r="AW3" s="4">
        <v>15.785</v>
      </c>
      <c r="AX3" s="4">
        <v>12.4</v>
      </c>
      <c r="AY3" s="4">
        <v>2.65</v>
      </c>
      <c r="AZ3" s="4">
        <v>6.024</v>
      </c>
      <c r="BA3" s="4">
        <v>0.96899999999999997</v>
      </c>
      <c r="BB3" s="4">
        <v>17.434999999999999</v>
      </c>
      <c r="BC3" s="4">
        <v>6.7670000000000003</v>
      </c>
      <c r="BD3" s="4">
        <v>4.9029999999999996</v>
      </c>
      <c r="BE3" s="4">
        <v>6.1680000000000001</v>
      </c>
      <c r="BF3" s="4">
        <v>6.1609999999999996</v>
      </c>
      <c r="BG3" s="4">
        <v>10.743</v>
      </c>
      <c r="BH3" s="4">
        <v>8.8059999999999992</v>
      </c>
      <c r="BI3" s="4">
        <v>11.225</v>
      </c>
      <c r="BJ3" s="4">
        <v>6.8620000000000001</v>
      </c>
      <c r="BK3" s="4">
        <v>4.5780000000000003</v>
      </c>
      <c r="BL3" s="4">
        <v>2.6930000000000001</v>
      </c>
      <c r="BM3" s="4">
        <v>4.7249999999999996</v>
      </c>
      <c r="BN3" s="4">
        <v>7.2640000000000002</v>
      </c>
      <c r="BO3" s="4">
        <v>5.8460000000000001</v>
      </c>
      <c r="BP3" s="4">
        <v>-0.19500000000000001</v>
      </c>
    </row>
    <row r="4" spans="1:68" x14ac:dyDescent="0.3">
      <c r="A4" s="4" t="s">
        <v>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</row>
    <row r="5" spans="1:68" x14ac:dyDescent="0.3">
      <c r="A5" s="4" t="s">
        <v>4</v>
      </c>
      <c r="B5" s="4">
        <v>3.3759999999999999</v>
      </c>
      <c r="C5" s="4">
        <v>3.516</v>
      </c>
      <c r="D5" s="4">
        <v>3.4129999999999998</v>
      </c>
      <c r="E5" s="4">
        <v>3.194</v>
      </c>
      <c r="F5" s="4">
        <v>3.45</v>
      </c>
      <c r="G5" s="4">
        <v>3.2869999999999999</v>
      </c>
      <c r="H5" s="4">
        <v>3.27</v>
      </c>
      <c r="I5" s="4">
        <v>4.25</v>
      </c>
      <c r="J5" s="4">
        <v>3.6440000000000001</v>
      </c>
      <c r="K5" s="4">
        <v>3.4129999999999998</v>
      </c>
      <c r="L5" s="4">
        <v>3.3279999999999998</v>
      </c>
      <c r="M5" s="4">
        <v>3.5910000000000002</v>
      </c>
      <c r="N5" s="4">
        <v>3.4569999999999999</v>
      </c>
      <c r="O5" s="4">
        <v>3.31</v>
      </c>
      <c r="P5" s="4">
        <v>3.294</v>
      </c>
      <c r="Q5" s="4">
        <v>3.3639999999999999</v>
      </c>
      <c r="R5" s="4">
        <v>3.327</v>
      </c>
      <c r="S5" s="4">
        <v>3.4780000000000002</v>
      </c>
      <c r="T5" s="4">
        <v>3.351</v>
      </c>
      <c r="U5" s="4">
        <v>3.302</v>
      </c>
      <c r="V5" s="4">
        <v>3.266</v>
      </c>
      <c r="W5" s="4">
        <v>2.754</v>
      </c>
      <c r="X5" s="4">
        <v>3.335</v>
      </c>
      <c r="Y5" s="4">
        <v>3.3170000000000002</v>
      </c>
      <c r="Z5" s="4">
        <v>3.2549999999999999</v>
      </c>
      <c r="AA5" s="4">
        <v>3.3079999999999998</v>
      </c>
      <c r="AB5" s="4">
        <v>3.391</v>
      </c>
      <c r="AC5" s="4">
        <v>3.3919999999999999</v>
      </c>
      <c r="AD5" s="4">
        <v>3.202</v>
      </c>
      <c r="AE5" s="4">
        <v>3.3170000000000002</v>
      </c>
      <c r="AF5" s="4">
        <v>3.8340000000000001</v>
      </c>
      <c r="AG5" s="4">
        <v>3.2610000000000001</v>
      </c>
      <c r="AH5" s="4">
        <v>3.3380000000000001</v>
      </c>
      <c r="AI5" s="4">
        <v>3.3130000000000002</v>
      </c>
      <c r="AJ5" s="4">
        <v>3.4820000000000002</v>
      </c>
      <c r="AK5" s="4">
        <v>3.3959999999999999</v>
      </c>
      <c r="AL5" s="4">
        <v>3.3540000000000001</v>
      </c>
      <c r="AM5" s="4">
        <v>3.2010000000000001</v>
      </c>
      <c r="AN5" s="4">
        <v>3.3940000000000001</v>
      </c>
      <c r="AO5" s="4">
        <v>3.31</v>
      </c>
      <c r="AP5" s="4">
        <v>3.375</v>
      </c>
      <c r="AQ5" s="4">
        <v>3.2370000000000001</v>
      </c>
      <c r="AR5" s="4">
        <v>3.4350000000000001</v>
      </c>
      <c r="AS5" s="4">
        <v>3.2480000000000002</v>
      </c>
      <c r="AT5" s="4">
        <v>3.3050000000000002</v>
      </c>
      <c r="AU5" s="4">
        <v>3.4460000000000002</v>
      </c>
      <c r="AV5" s="4">
        <v>3.5249999999999999</v>
      </c>
      <c r="AW5" s="4">
        <v>3.5150000000000001</v>
      </c>
      <c r="AX5" s="4">
        <v>3.2789999999999999</v>
      </c>
      <c r="AY5" s="4">
        <v>3.5019999999999998</v>
      </c>
      <c r="AZ5" s="4">
        <v>3.3340000000000001</v>
      </c>
      <c r="BA5" s="4">
        <v>3.37</v>
      </c>
      <c r="BB5" s="4">
        <v>3.5139999999999998</v>
      </c>
      <c r="BC5" s="4">
        <v>3.391</v>
      </c>
      <c r="BD5" s="4">
        <v>3.3980000000000001</v>
      </c>
      <c r="BE5" s="4">
        <v>3.34</v>
      </c>
      <c r="BF5" s="4">
        <v>3.476</v>
      </c>
      <c r="BG5" s="4">
        <v>3.2989999999999999</v>
      </c>
      <c r="BH5" s="4">
        <v>3.3570000000000002</v>
      </c>
      <c r="BI5" s="4">
        <v>3.5</v>
      </c>
      <c r="BJ5" s="4">
        <v>3.2919999999999998</v>
      </c>
      <c r="BK5" s="4">
        <v>3.2970000000000002</v>
      </c>
      <c r="BL5" s="4">
        <v>3.298</v>
      </c>
      <c r="BM5" s="4">
        <v>3.387</v>
      </c>
      <c r="BN5" s="4">
        <v>3.4169999999999998</v>
      </c>
      <c r="BO5" s="4">
        <v>3.3730000000000002</v>
      </c>
      <c r="BP5" s="4">
        <v>3.2509999999999999</v>
      </c>
    </row>
    <row r="6" spans="1:68" x14ac:dyDescent="0.3">
      <c r="A6" s="4" t="s">
        <v>5</v>
      </c>
      <c r="B6" s="4">
        <v>3.64</v>
      </c>
      <c r="C6" s="4">
        <v>3.7469999999999999</v>
      </c>
      <c r="D6" s="4">
        <v>6.55</v>
      </c>
      <c r="E6" s="4">
        <v>4.4020000000000001</v>
      </c>
      <c r="F6" s="4">
        <v>6.7270000000000003</v>
      </c>
      <c r="G6" s="4">
        <v>1.1319999999999999</v>
      </c>
      <c r="H6" s="4">
        <v>-0.13900000000000001</v>
      </c>
      <c r="I6" s="4">
        <v>-1.897</v>
      </c>
      <c r="J6" s="4">
        <v>10.004</v>
      </c>
      <c r="K6" s="4">
        <v>6.9539999999999997</v>
      </c>
      <c r="L6" s="4">
        <v>5.1440000000000001</v>
      </c>
      <c r="M6" s="4">
        <v>6.4139999999999997</v>
      </c>
      <c r="N6" s="4">
        <v>4.758</v>
      </c>
      <c r="O6" s="4">
        <v>-2.778</v>
      </c>
      <c r="P6" s="4">
        <v>1.341</v>
      </c>
      <c r="Q6" s="4">
        <v>3.4239999999999999</v>
      </c>
      <c r="R6" s="4">
        <v>6.8230000000000004</v>
      </c>
      <c r="S6" s="4">
        <v>5.0380000000000003</v>
      </c>
      <c r="T6" s="4">
        <v>6.0919999999999996</v>
      </c>
      <c r="U6" s="4">
        <v>6.6210000000000004</v>
      </c>
      <c r="V6" s="4">
        <v>-9.7189999999999994</v>
      </c>
      <c r="W6" s="4">
        <v>5.8959999999999999</v>
      </c>
      <c r="X6" s="4">
        <v>3.7090000000000001</v>
      </c>
      <c r="Y6" s="4">
        <v>3.8359999999999999</v>
      </c>
      <c r="Z6" s="4">
        <v>3.4609999999999999</v>
      </c>
      <c r="AA6" s="4">
        <v>3.0070000000000001</v>
      </c>
      <c r="AB6" s="4">
        <v>4.7039999999999997</v>
      </c>
      <c r="AC6" s="4">
        <v>1.2490000000000001</v>
      </c>
      <c r="AD6" s="4">
        <v>2.6040000000000001</v>
      </c>
      <c r="AE6" s="4">
        <v>7.9509999999999996</v>
      </c>
      <c r="AF6" s="4">
        <v>6.82</v>
      </c>
      <c r="AG6" s="4">
        <v>1.6659999999999999</v>
      </c>
      <c r="AH6" s="4">
        <v>2.8149999999999999</v>
      </c>
      <c r="AI6" s="4">
        <v>4.2220000000000004</v>
      </c>
      <c r="AJ6" s="4">
        <v>5.1289999999999996</v>
      </c>
      <c r="AK6" s="4">
        <v>5.976</v>
      </c>
      <c r="AL6" s="4">
        <v>6.1539999999999999</v>
      </c>
      <c r="AM6" s="4">
        <v>1.0629999999999999</v>
      </c>
      <c r="AN6" s="4">
        <v>4.0730000000000004</v>
      </c>
      <c r="AO6" s="4">
        <v>-0.61299999999999999</v>
      </c>
      <c r="AP6" s="4">
        <v>5.6440000000000001</v>
      </c>
      <c r="AQ6" s="4">
        <v>2.0350000000000001</v>
      </c>
      <c r="AR6" s="4">
        <v>-0.51800000000000002</v>
      </c>
      <c r="AS6" s="4">
        <v>5.2279999999999998</v>
      </c>
      <c r="AT6" s="4">
        <v>5.5010000000000003</v>
      </c>
      <c r="AU6" s="4">
        <v>2.919</v>
      </c>
      <c r="AV6" s="4">
        <v>2.5049999999999999</v>
      </c>
      <c r="AW6" s="4">
        <v>9.8520000000000003</v>
      </c>
      <c r="AX6" s="4">
        <v>6.5369999999999999</v>
      </c>
      <c r="AY6" s="4">
        <v>0.56799999999999995</v>
      </c>
      <c r="AZ6" s="4">
        <v>3.0950000000000002</v>
      </c>
      <c r="BA6" s="4">
        <v>-1.679</v>
      </c>
      <c r="BB6" s="4">
        <v>12.276</v>
      </c>
      <c r="BC6" s="4">
        <v>1.7989999999999999</v>
      </c>
      <c r="BD6" s="4">
        <v>2.802</v>
      </c>
      <c r="BE6" s="4">
        <v>2.63</v>
      </c>
      <c r="BF6" s="4">
        <v>4.3760000000000003</v>
      </c>
      <c r="BG6" s="4">
        <v>4.9489999999999998</v>
      </c>
      <c r="BH6" s="4">
        <v>8.0820000000000007</v>
      </c>
      <c r="BI6" s="4">
        <v>7.6479999999999997</v>
      </c>
      <c r="BJ6" s="4">
        <v>4.5030000000000001</v>
      </c>
      <c r="BK6" s="4">
        <v>1.6419999999999999</v>
      </c>
      <c r="BL6" s="4">
        <v>-0.51700000000000002</v>
      </c>
      <c r="BM6" s="4">
        <v>2.6019999999999999</v>
      </c>
      <c r="BN6" s="4">
        <v>4.0439999999999996</v>
      </c>
      <c r="BO6" s="4">
        <v>3.9009999999999998</v>
      </c>
      <c r="BP6" s="4">
        <v>-4.2290000000000001</v>
      </c>
    </row>
    <row r="7" spans="1:68" x14ac:dyDescent="0.3">
      <c r="A7" s="4" t="s">
        <v>6</v>
      </c>
      <c r="B7" s="4">
        <v>6.335</v>
      </c>
      <c r="C7" s="4">
        <v>4.0640000000000001</v>
      </c>
      <c r="D7" s="4">
        <v>6.8070000000000004</v>
      </c>
      <c r="E7" s="4">
        <v>5.7939999999999996</v>
      </c>
      <c r="F7" s="4">
        <v>7.3150000000000004</v>
      </c>
      <c r="G7" s="4">
        <v>4.68</v>
      </c>
      <c r="H7" s="4">
        <v>4.6180000000000003</v>
      </c>
      <c r="I7" s="4">
        <v>4.9210000000000003</v>
      </c>
      <c r="J7" s="4">
        <v>11.685</v>
      </c>
      <c r="K7" s="4">
        <v>7.0759999999999996</v>
      </c>
      <c r="L7" s="4">
        <v>7.0250000000000004</v>
      </c>
      <c r="M7" s="4">
        <v>6.9409999999999998</v>
      </c>
      <c r="N7" s="4">
        <v>4.9980000000000002</v>
      </c>
      <c r="O7" s="4">
        <v>5.6820000000000004</v>
      </c>
      <c r="P7" s="4">
        <v>3.1549999999999998</v>
      </c>
      <c r="Q7" s="4">
        <v>4.5650000000000004</v>
      </c>
      <c r="R7" s="4">
        <v>10.006</v>
      </c>
      <c r="S7" s="4">
        <v>5.7279999999999998</v>
      </c>
      <c r="T7" s="4">
        <v>7.3789999999999996</v>
      </c>
      <c r="U7" s="4">
        <v>8.0779999999999994</v>
      </c>
      <c r="V7" s="4">
        <v>8.1270000000000007</v>
      </c>
      <c r="W7" s="4">
        <v>4.7210000000000001</v>
      </c>
      <c r="X7" s="4">
        <v>5.3070000000000004</v>
      </c>
      <c r="Y7" s="4">
        <v>4.6559999999999997</v>
      </c>
      <c r="Z7" s="4">
        <v>5.1130000000000004</v>
      </c>
      <c r="AA7" s="4">
        <v>4.9980000000000002</v>
      </c>
      <c r="AB7" s="4">
        <v>6.6890000000000001</v>
      </c>
      <c r="AC7" s="4">
        <v>4.07</v>
      </c>
      <c r="AD7" s="4">
        <v>4.7990000000000004</v>
      </c>
      <c r="AE7" s="4">
        <v>6.3470000000000004</v>
      </c>
      <c r="AF7" s="4">
        <v>5.72</v>
      </c>
      <c r="AG7" s="4">
        <v>2.794</v>
      </c>
      <c r="AH7" s="4">
        <v>5.5780000000000003</v>
      </c>
      <c r="AI7" s="4">
        <v>4.6319999999999997</v>
      </c>
      <c r="AJ7" s="4">
        <v>5.0709999999999997</v>
      </c>
      <c r="AK7" s="4">
        <v>7.8319999999999999</v>
      </c>
      <c r="AL7" s="4">
        <v>5.4950000000000001</v>
      </c>
      <c r="AM7" s="4">
        <v>2.0699999999999998</v>
      </c>
      <c r="AN7" s="4">
        <v>4.8479999999999999</v>
      </c>
      <c r="AO7" s="4">
        <v>4.6079999999999997</v>
      </c>
      <c r="AP7" s="4">
        <v>4.6959999999999997</v>
      </c>
      <c r="AQ7" s="4">
        <v>10.282999999999999</v>
      </c>
      <c r="AR7" s="4">
        <v>6.774</v>
      </c>
      <c r="AS7" s="4">
        <v>5.5490000000000004</v>
      </c>
      <c r="AT7" s="4">
        <v>5.6050000000000004</v>
      </c>
      <c r="AU7" s="4">
        <v>3.512</v>
      </c>
      <c r="AV7" s="4">
        <v>3.6019999999999999</v>
      </c>
      <c r="AW7" s="4">
        <v>11.804</v>
      </c>
      <c r="AX7" s="4">
        <v>10.144</v>
      </c>
      <c r="AY7" s="4">
        <v>6.0549999999999997</v>
      </c>
      <c r="AZ7" s="4">
        <v>4.7240000000000002</v>
      </c>
      <c r="BA7" s="4">
        <v>3.4740000000000002</v>
      </c>
      <c r="BB7" s="4">
        <v>13.246</v>
      </c>
      <c r="BC7" s="4">
        <v>7.2210000000000001</v>
      </c>
      <c r="BD7" s="4">
        <v>2.6779999999999999</v>
      </c>
      <c r="BE7" s="4">
        <v>5.0209999999999999</v>
      </c>
      <c r="BF7" s="4">
        <v>6.0960000000000001</v>
      </c>
      <c r="BG7" s="4">
        <v>7.7389999999999999</v>
      </c>
      <c r="BH7" s="4">
        <v>6.7869999999999999</v>
      </c>
      <c r="BI7" s="4">
        <v>8.3000000000000007</v>
      </c>
      <c r="BJ7" s="4">
        <v>4.9489999999999998</v>
      </c>
      <c r="BK7" s="4">
        <v>4.2450000000000001</v>
      </c>
      <c r="BL7" s="4">
        <v>3.254</v>
      </c>
      <c r="BM7" s="4">
        <v>3.5219999999999998</v>
      </c>
      <c r="BN7" s="4">
        <v>5.9390000000000001</v>
      </c>
      <c r="BO7" s="4">
        <v>3.7789999999999999</v>
      </c>
      <c r="BP7" s="4">
        <v>2.4420000000000002</v>
      </c>
    </row>
    <row r="8" spans="1:68" x14ac:dyDescent="0.3">
      <c r="A8" s="4" t="s">
        <v>7</v>
      </c>
      <c r="B8" s="4">
        <v>3.012</v>
      </c>
      <c r="C8" s="4">
        <v>2.0779999999999998</v>
      </c>
      <c r="D8" s="4">
        <v>4.2380000000000004</v>
      </c>
      <c r="E8" s="4">
        <v>4.1950000000000003</v>
      </c>
      <c r="F8" s="4">
        <v>4.4029999999999996</v>
      </c>
      <c r="G8" s="4">
        <v>2.4049999999999998</v>
      </c>
      <c r="H8" s="4">
        <v>2.06</v>
      </c>
      <c r="I8" s="4">
        <v>1.403</v>
      </c>
      <c r="J8" s="4">
        <v>7.6429999999999998</v>
      </c>
      <c r="K8" s="4">
        <v>4.4450000000000003</v>
      </c>
      <c r="L8" s="4">
        <v>4.3639999999999999</v>
      </c>
      <c r="M8" s="4">
        <v>4.55</v>
      </c>
      <c r="N8" s="4">
        <v>2.3969999999999998</v>
      </c>
      <c r="O8" s="4">
        <v>1.6080000000000001</v>
      </c>
      <c r="P8" s="4">
        <v>1.5629999999999999</v>
      </c>
      <c r="Q8" s="4">
        <v>2.794</v>
      </c>
      <c r="R8" s="4">
        <v>6.218</v>
      </c>
      <c r="S8" s="4">
        <v>3.4049999999999998</v>
      </c>
      <c r="T8" s="4">
        <v>4.5629999999999997</v>
      </c>
      <c r="U8" s="4">
        <v>5.3940000000000001</v>
      </c>
      <c r="V8" s="4">
        <v>1.643</v>
      </c>
      <c r="W8" s="4">
        <v>2.4119999999999999</v>
      </c>
      <c r="X8" s="4">
        <v>3.5950000000000002</v>
      </c>
      <c r="Y8" s="4">
        <v>2.6150000000000002</v>
      </c>
      <c r="Z8" s="4">
        <v>2.9830000000000001</v>
      </c>
      <c r="AA8" s="4">
        <v>3.137</v>
      </c>
      <c r="AB8" s="4">
        <v>4.0380000000000003</v>
      </c>
      <c r="AC8" s="4">
        <v>2</v>
      </c>
      <c r="AD8" s="4">
        <v>2.3889999999999998</v>
      </c>
      <c r="AE8" s="4">
        <v>3.4980000000000002</v>
      </c>
      <c r="AF8" s="4">
        <v>3.161</v>
      </c>
      <c r="AG8" s="4">
        <v>1.302</v>
      </c>
      <c r="AH8" s="4">
        <v>3.4790000000000001</v>
      </c>
      <c r="AI8" s="4">
        <v>2.46</v>
      </c>
      <c r="AJ8" s="4">
        <v>2.7450000000000001</v>
      </c>
      <c r="AK8" s="4">
        <v>5.2140000000000004</v>
      </c>
      <c r="AL8" s="4">
        <v>3.097</v>
      </c>
      <c r="AM8" s="4">
        <v>0.98399999999999999</v>
      </c>
      <c r="AN8" s="4">
        <v>2.6589999999999998</v>
      </c>
      <c r="AO8" s="4">
        <v>1.86</v>
      </c>
      <c r="AP8" s="4">
        <v>2.7549999999999999</v>
      </c>
      <c r="AQ8" s="4">
        <v>6.6109999999999998</v>
      </c>
      <c r="AR8" s="4">
        <v>2.8359999999999999</v>
      </c>
      <c r="AS8" s="4">
        <v>3.4649999999999999</v>
      </c>
      <c r="AT8" s="4">
        <v>3.5859999999999999</v>
      </c>
      <c r="AU8" s="4">
        <v>1.294</v>
      </c>
      <c r="AV8" s="4">
        <v>1.7709999999999999</v>
      </c>
      <c r="AW8" s="4">
        <v>8.2840000000000007</v>
      </c>
      <c r="AX8" s="4">
        <v>7.26</v>
      </c>
      <c r="AY8" s="4">
        <v>2.5249999999999999</v>
      </c>
      <c r="AZ8" s="4">
        <v>2.609</v>
      </c>
      <c r="BA8" s="4">
        <v>0.83599999999999997</v>
      </c>
      <c r="BB8" s="4">
        <v>9.1660000000000004</v>
      </c>
      <c r="BC8" s="4">
        <v>3.1509999999999998</v>
      </c>
      <c r="BD8" s="4">
        <v>1.2070000000000001</v>
      </c>
      <c r="BE8" s="4">
        <v>2.786</v>
      </c>
      <c r="BF8" s="4">
        <v>3.0649999999999999</v>
      </c>
      <c r="BG8" s="4">
        <v>5.2329999999999997</v>
      </c>
      <c r="BH8" s="4">
        <v>3.9910000000000001</v>
      </c>
      <c r="BI8" s="4">
        <v>5.2190000000000003</v>
      </c>
      <c r="BJ8" s="4">
        <v>2.87</v>
      </c>
      <c r="BK8" s="4">
        <v>1.708</v>
      </c>
      <c r="BL8" s="4">
        <v>1.3540000000000001</v>
      </c>
      <c r="BM8" s="4">
        <v>1.8280000000000001</v>
      </c>
      <c r="BN8" s="4">
        <v>3.2519999999999998</v>
      </c>
      <c r="BO8" s="4">
        <v>1.9179999999999999</v>
      </c>
      <c r="BP8" s="4">
        <v>-0.22500000000000001</v>
      </c>
    </row>
    <row r="9" spans="1:68" x14ac:dyDescent="0.3">
      <c r="A9" s="4" t="s">
        <v>8</v>
      </c>
      <c r="B9" s="4">
        <v>7.8369999999999997</v>
      </c>
      <c r="C9" s="4">
        <v>6.8540000000000001</v>
      </c>
      <c r="D9" s="4">
        <v>9.1300000000000008</v>
      </c>
      <c r="E9" s="4">
        <v>9.077</v>
      </c>
      <c r="F9" s="4">
        <v>9.2949999999999999</v>
      </c>
      <c r="G9" s="4">
        <v>7.1710000000000003</v>
      </c>
      <c r="H9" s="4">
        <v>6.8120000000000003</v>
      </c>
      <c r="I9" s="4">
        <v>6.1289999999999996</v>
      </c>
      <c r="J9" s="4">
        <v>12.597</v>
      </c>
      <c r="K9" s="4">
        <v>9.3249999999999993</v>
      </c>
      <c r="L9" s="4">
        <v>9.2490000000000006</v>
      </c>
      <c r="M9" s="4">
        <v>9.4390000000000001</v>
      </c>
      <c r="N9" s="4">
        <v>7.1920000000000002</v>
      </c>
      <c r="O9" s="4">
        <v>6.3570000000000002</v>
      </c>
      <c r="P9" s="4">
        <v>6.3090000000000002</v>
      </c>
      <c r="Q9" s="4">
        <v>7.5540000000000003</v>
      </c>
      <c r="R9" s="4">
        <v>11.186999999999999</v>
      </c>
      <c r="S9" s="4">
        <v>8.2569999999999997</v>
      </c>
      <c r="T9" s="4">
        <v>9.4420000000000002</v>
      </c>
      <c r="U9" s="4">
        <v>10.305999999999999</v>
      </c>
      <c r="V9" s="4">
        <v>6.4050000000000002</v>
      </c>
      <c r="W9" s="4">
        <v>7.2060000000000004</v>
      </c>
      <c r="X9" s="4">
        <v>8.4130000000000003</v>
      </c>
      <c r="Y9" s="4">
        <v>7.4119999999999999</v>
      </c>
      <c r="Z9" s="4">
        <v>7.7610000000000001</v>
      </c>
      <c r="AA9" s="4">
        <v>7.92</v>
      </c>
      <c r="AB9" s="4">
        <v>8.8780000000000001</v>
      </c>
      <c r="AC9" s="4">
        <v>6.782</v>
      </c>
      <c r="AD9" s="4">
        <v>7.1769999999999996</v>
      </c>
      <c r="AE9" s="4">
        <v>8.3409999999999993</v>
      </c>
      <c r="AF9" s="4">
        <v>8.0139999999999993</v>
      </c>
      <c r="AG9" s="4">
        <v>6.0229999999999997</v>
      </c>
      <c r="AH9" s="4">
        <v>8.3219999999999992</v>
      </c>
      <c r="AI9" s="4">
        <v>7.2409999999999997</v>
      </c>
      <c r="AJ9" s="4">
        <v>7.5670000000000002</v>
      </c>
      <c r="AK9" s="4">
        <v>10.122999999999999</v>
      </c>
      <c r="AL9" s="4">
        <v>7.9160000000000004</v>
      </c>
      <c r="AM9" s="4">
        <v>5.7409999999999997</v>
      </c>
      <c r="AN9" s="4">
        <v>7.4610000000000003</v>
      </c>
      <c r="AO9" s="4">
        <v>6.5810000000000004</v>
      </c>
      <c r="AP9" s="4">
        <v>7.5659999999999998</v>
      </c>
      <c r="AQ9" s="4">
        <v>11.595000000000001</v>
      </c>
      <c r="AR9" s="4">
        <v>7.6360000000000001</v>
      </c>
      <c r="AS9" s="4">
        <v>8.3000000000000007</v>
      </c>
      <c r="AT9" s="4">
        <v>8.4260000000000002</v>
      </c>
      <c r="AU9" s="4">
        <v>6.0629999999999997</v>
      </c>
      <c r="AV9" s="4">
        <v>6.5439999999999996</v>
      </c>
      <c r="AW9" s="4">
        <v>13.317</v>
      </c>
      <c r="AX9" s="4">
        <v>12.282</v>
      </c>
      <c r="AY9" s="4">
        <v>7.3109999999999999</v>
      </c>
      <c r="AZ9" s="4">
        <v>7.4029999999999996</v>
      </c>
      <c r="BA9" s="4">
        <v>5.5519999999999996</v>
      </c>
      <c r="BB9" s="4">
        <v>14.273999999999999</v>
      </c>
      <c r="BC9" s="4">
        <v>7.99</v>
      </c>
      <c r="BD9" s="4">
        <v>5.9530000000000003</v>
      </c>
      <c r="BE9" s="4">
        <v>7.5869999999999997</v>
      </c>
      <c r="BF9" s="4">
        <v>7.8869999999999996</v>
      </c>
      <c r="BG9" s="4">
        <v>10.135999999999999</v>
      </c>
      <c r="BH9" s="4">
        <v>8.8559999999999999</v>
      </c>
      <c r="BI9" s="4">
        <v>10.045</v>
      </c>
      <c r="BJ9" s="4">
        <v>7.681</v>
      </c>
      <c r="BK9" s="4">
        <v>6.46</v>
      </c>
      <c r="BL9" s="4">
        <v>6.0869999999999997</v>
      </c>
      <c r="BM9" s="4">
        <v>6.5949999999999998</v>
      </c>
      <c r="BN9" s="4">
        <v>8.0749999999999993</v>
      </c>
      <c r="BO9" s="4">
        <v>6.6950000000000003</v>
      </c>
      <c r="BP9" s="4">
        <v>4.4509999999999996</v>
      </c>
    </row>
    <row r="10" spans="1:68" x14ac:dyDescent="0.3">
      <c r="A10" s="4" t="s">
        <v>9</v>
      </c>
      <c r="B10" s="4">
        <v>5.5549999999999997</v>
      </c>
      <c r="C10" s="4">
        <v>5.5149999999999997</v>
      </c>
      <c r="D10" s="4">
        <v>9.6959999999999997</v>
      </c>
      <c r="E10" s="4">
        <v>8.827</v>
      </c>
      <c r="F10" s="4">
        <v>10.135</v>
      </c>
      <c r="G10" s="4">
        <v>4.359</v>
      </c>
      <c r="H10" s="4">
        <v>2.79</v>
      </c>
      <c r="I10" s="4">
        <v>1.113</v>
      </c>
      <c r="J10" s="4">
        <v>15.579000000000001</v>
      </c>
      <c r="K10" s="4">
        <v>9.4890000000000008</v>
      </c>
      <c r="L10" s="4">
        <v>9.0730000000000004</v>
      </c>
      <c r="M10" s="4">
        <v>8.9060000000000006</v>
      </c>
      <c r="N10" s="4">
        <v>5.7830000000000004</v>
      </c>
      <c r="O10" s="4">
        <v>-9.2999999999999999E-2</v>
      </c>
      <c r="P10" s="4">
        <v>5.2510000000000003</v>
      </c>
      <c r="Q10" s="4">
        <v>6.6539999999999999</v>
      </c>
      <c r="R10" s="4">
        <v>10.166</v>
      </c>
      <c r="S10" s="4">
        <v>8.4359999999999999</v>
      </c>
      <c r="T10" s="4">
        <v>8.3510000000000009</v>
      </c>
      <c r="U10" s="4">
        <v>11.262</v>
      </c>
      <c r="V10" s="4">
        <v>-3.964</v>
      </c>
      <c r="W10" s="4">
        <v>6.0339999999999998</v>
      </c>
      <c r="X10" s="4">
        <v>7.9359999999999999</v>
      </c>
      <c r="Y10" s="4">
        <v>6.7750000000000004</v>
      </c>
      <c r="Z10" s="4">
        <v>6.3339999999999996</v>
      </c>
      <c r="AA10" s="4">
        <v>7.03</v>
      </c>
      <c r="AB10" s="4">
        <v>8.7110000000000003</v>
      </c>
      <c r="AC10" s="4">
        <v>5.1319999999999997</v>
      </c>
      <c r="AD10" s="4">
        <v>4.9980000000000002</v>
      </c>
      <c r="AE10" s="4">
        <v>7.8440000000000003</v>
      </c>
      <c r="AF10" s="4">
        <v>8.9120000000000008</v>
      </c>
      <c r="AG10" s="4">
        <v>3.427</v>
      </c>
      <c r="AH10" s="4">
        <v>6.8540000000000001</v>
      </c>
      <c r="AI10" s="4">
        <v>6.048</v>
      </c>
      <c r="AJ10" s="4">
        <v>7.2069999999999999</v>
      </c>
      <c r="AK10" s="4">
        <v>10.952999999999999</v>
      </c>
      <c r="AL10" s="4">
        <v>7.0910000000000002</v>
      </c>
      <c r="AM10" s="4">
        <v>4.1440000000000001</v>
      </c>
      <c r="AN10" s="4">
        <v>6.641</v>
      </c>
      <c r="AO10" s="4">
        <v>3.2240000000000002</v>
      </c>
      <c r="AP10" s="4">
        <v>6.7169999999999996</v>
      </c>
      <c r="AQ10" s="4">
        <v>7.3979999999999997</v>
      </c>
      <c r="AR10" s="4">
        <v>1.26</v>
      </c>
      <c r="AS10" s="4">
        <v>7.5270000000000001</v>
      </c>
      <c r="AT10" s="4">
        <v>7.5170000000000003</v>
      </c>
      <c r="AU10" s="4">
        <v>5.7160000000000002</v>
      </c>
      <c r="AV10" s="4">
        <v>5.5430000000000001</v>
      </c>
      <c r="AW10" s="4">
        <v>15.785</v>
      </c>
      <c r="AX10" s="4">
        <v>12.4</v>
      </c>
      <c r="AY10" s="4">
        <v>2.65</v>
      </c>
      <c r="AZ10" s="4">
        <v>6.024</v>
      </c>
      <c r="BA10" s="4">
        <v>0.96899999999999997</v>
      </c>
      <c r="BB10" s="4">
        <v>17.434999999999999</v>
      </c>
      <c r="BC10" s="4">
        <v>6.7670000000000003</v>
      </c>
      <c r="BD10" s="4">
        <v>4.9029999999999996</v>
      </c>
      <c r="BE10" s="4">
        <v>6.1680000000000001</v>
      </c>
      <c r="BF10" s="4">
        <v>6.1609999999999996</v>
      </c>
      <c r="BG10" s="4">
        <v>10.743</v>
      </c>
      <c r="BH10" s="4">
        <v>8.8059999999999992</v>
      </c>
      <c r="BI10" s="4">
        <v>11.225</v>
      </c>
      <c r="BJ10" s="4">
        <v>6.8620000000000001</v>
      </c>
      <c r="BK10" s="4">
        <v>4.5780000000000003</v>
      </c>
      <c r="BL10" s="4">
        <v>2.6930000000000001</v>
      </c>
      <c r="BM10" s="4">
        <v>4.7249999999999996</v>
      </c>
      <c r="BN10" s="4">
        <v>7.2640000000000002</v>
      </c>
      <c r="BO10" s="4">
        <v>5.8460000000000001</v>
      </c>
      <c r="BP10" s="4">
        <v>-0.19500000000000001</v>
      </c>
    </row>
    <row r="11" spans="1:68" x14ac:dyDescent="0.3">
      <c r="A11" s="4" t="s">
        <v>10</v>
      </c>
      <c r="B11" s="4">
        <v>-2.5009999999999999</v>
      </c>
      <c r="C11" s="4">
        <v>-1.2789999999999999</v>
      </c>
      <c r="D11" s="4">
        <v>-1.3879999999999999</v>
      </c>
      <c r="E11" s="4">
        <v>-1.2649999999999999</v>
      </c>
      <c r="F11" s="4">
        <v>-1.3979999999999999</v>
      </c>
      <c r="G11" s="4">
        <v>-2.1230000000000002</v>
      </c>
      <c r="H11" s="4">
        <v>-2.601</v>
      </c>
      <c r="I11" s="4">
        <v>-4.1680000000000001</v>
      </c>
      <c r="J11" s="4">
        <v>-0.56299999999999994</v>
      </c>
      <c r="K11" s="4">
        <v>-1.2410000000000001</v>
      </c>
      <c r="L11" s="4">
        <v>-1.873</v>
      </c>
      <c r="M11" s="4">
        <v>-2.0289999999999999</v>
      </c>
      <c r="N11" s="4">
        <v>-1.42</v>
      </c>
      <c r="O11" s="4">
        <v>-4.9400000000000004</v>
      </c>
      <c r="P11" s="4">
        <v>-0.51900000000000002</v>
      </c>
      <c r="Q11" s="4">
        <v>-0.19800000000000001</v>
      </c>
      <c r="R11" s="4">
        <v>-3.0329999999999999</v>
      </c>
      <c r="S11" s="4">
        <v>-1.401</v>
      </c>
      <c r="T11" s="4">
        <v>-1.752</v>
      </c>
      <c r="U11" s="4">
        <v>-0.88800000000000001</v>
      </c>
      <c r="V11" s="4">
        <v>-9.5389999999999997</v>
      </c>
      <c r="W11" s="4">
        <v>-0.879</v>
      </c>
      <c r="X11" s="4">
        <v>-0.42</v>
      </c>
      <c r="Y11" s="4">
        <v>-0.77200000000000002</v>
      </c>
      <c r="Z11" s="4">
        <v>-0.46500000000000002</v>
      </c>
      <c r="AA11" s="4">
        <v>-0.43</v>
      </c>
      <c r="AB11" s="4">
        <v>-0.995</v>
      </c>
      <c r="AC11" s="4">
        <v>-1.861</v>
      </c>
      <c r="AD11" s="4">
        <v>-2.0049999999999999</v>
      </c>
      <c r="AE11" s="4">
        <v>-1.0329999999999999</v>
      </c>
      <c r="AF11" s="4">
        <v>-2.16</v>
      </c>
      <c r="AG11" s="4">
        <v>-1.0029999999999999</v>
      </c>
      <c r="AH11" s="4">
        <v>-1.754</v>
      </c>
      <c r="AI11" s="4">
        <v>-0.8</v>
      </c>
      <c r="AJ11" s="4">
        <v>-1.194</v>
      </c>
      <c r="AK11" s="4">
        <v>-0.96</v>
      </c>
      <c r="AL11" s="4">
        <v>-0.94</v>
      </c>
      <c r="AM11" s="4">
        <v>-1.1970000000000001</v>
      </c>
      <c r="AN11" s="4">
        <v>-1.302</v>
      </c>
      <c r="AO11" s="4">
        <v>-2.6240000000000001</v>
      </c>
      <c r="AP11" s="4">
        <v>-0.94799999999999995</v>
      </c>
      <c r="AQ11" s="4">
        <v>-4.6470000000000002</v>
      </c>
      <c r="AR11" s="4">
        <v>-5.2779999999999996</v>
      </c>
      <c r="AS11" s="4">
        <v>-0.89</v>
      </c>
      <c r="AT11" s="4">
        <v>-1.0429999999999999</v>
      </c>
      <c r="AU11" s="4">
        <v>-1.3129999999999999</v>
      </c>
      <c r="AV11" s="4">
        <v>-1.069</v>
      </c>
      <c r="AW11" s="4">
        <v>-1.135</v>
      </c>
      <c r="AX11" s="4">
        <v>-2.3660000000000001</v>
      </c>
      <c r="AY11" s="4">
        <v>-4.2270000000000003</v>
      </c>
      <c r="AZ11" s="4">
        <v>-1.407</v>
      </c>
      <c r="BA11" s="4">
        <v>-3.4390000000000001</v>
      </c>
      <c r="BB11" s="4">
        <v>-2.2200000000000002</v>
      </c>
      <c r="BC11" s="4">
        <v>-3.33</v>
      </c>
      <c r="BD11" s="4">
        <v>-0.94299999999999995</v>
      </c>
      <c r="BE11" s="4">
        <v>-1.6779999999999999</v>
      </c>
      <c r="BF11" s="4">
        <v>-2.4089999999999998</v>
      </c>
      <c r="BG11" s="4">
        <v>-1.1459999999999999</v>
      </c>
      <c r="BH11" s="4">
        <v>-0.87</v>
      </c>
      <c r="BI11" s="4">
        <v>2.5000000000000001E-2</v>
      </c>
      <c r="BJ11" s="4">
        <v>-0.88500000000000001</v>
      </c>
      <c r="BK11" s="4">
        <v>-1.833</v>
      </c>
      <c r="BL11" s="4">
        <v>-1.9690000000000001</v>
      </c>
      <c r="BM11" s="4">
        <v>-1.3560000000000001</v>
      </c>
      <c r="BN11" s="4">
        <v>-1.7390000000000001</v>
      </c>
      <c r="BO11" s="4">
        <v>-0.93</v>
      </c>
      <c r="BP11" s="4">
        <v>-3.9590000000000001</v>
      </c>
    </row>
    <row r="12" spans="1:68" x14ac:dyDescent="0.3">
      <c r="A12" s="4" t="s">
        <v>11</v>
      </c>
      <c r="B12" s="4">
        <v>-3.1259999999999999</v>
      </c>
      <c r="C12" s="4">
        <v>-3.8439999999999999</v>
      </c>
      <c r="D12" s="4">
        <v>-3.2010000000000001</v>
      </c>
      <c r="E12" s="4">
        <v>-2.93</v>
      </c>
      <c r="F12" s="4">
        <v>-2.8610000000000002</v>
      </c>
      <c r="G12" s="4">
        <v>-3.9470000000000001</v>
      </c>
      <c r="H12" s="4">
        <v>-3.508</v>
      </c>
      <c r="I12" s="4">
        <v>-3.988</v>
      </c>
      <c r="J12" s="4">
        <v>-3.1539999999999999</v>
      </c>
      <c r="K12" s="4">
        <v>-3.6869999999999998</v>
      </c>
      <c r="L12" s="4">
        <v>-3.3479999999999999</v>
      </c>
      <c r="M12" s="4">
        <v>-3.2240000000000002</v>
      </c>
      <c r="N12" s="4">
        <v>-3.4790000000000001</v>
      </c>
      <c r="O12" s="4">
        <v>-3.6040000000000001</v>
      </c>
      <c r="P12" s="4">
        <v>-3.02</v>
      </c>
      <c r="Q12" s="4">
        <v>-3.8580000000000001</v>
      </c>
      <c r="R12" s="4">
        <v>-3.4889999999999999</v>
      </c>
      <c r="S12" s="4">
        <v>-3.077</v>
      </c>
      <c r="T12" s="4">
        <v>-3.964</v>
      </c>
      <c r="U12" s="4">
        <v>-3.762</v>
      </c>
      <c r="V12" s="4">
        <v>-3.4529999999999998</v>
      </c>
      <c r="W12" s="4">
        <v>-3.7839999999999998</v>
      </c>
      <c r="X12" s="4">
        <v>-2.2669999999999999</v>
      </c>
      <c r="Y12" s="4">
        <v>-3.0249999999999999</v>
      </c>
      <c r="Z12" s="4">
        <v>-3.8730000000000002</v>
      </c>
      <c r="AA12" s="4">
        <v>-3.96</v>
      </c>
      <c r="AB12" s="4">
        <v>-3.4340000000000002</v>
      </c>
      <c r="AC12" s="4">
        <v>-3.827</v>
      </c>
      <c r="AD12" s="4">
        <v>-3.552</v>
      </c>
      <c r="AE12" s="4">
        <v>-3.31</v>
      </c>
      <c r="AF12" s="4">
        <v>-3.839</v>
      </c>
      <c r="AG12" s="4">
        <v>-3.9660000000000002</v>
      </c>
      <c r="AH12" s="4">
        <v>-3.7679999999999998</v>
      </c>
      <c r="AI12" s="4">
        <v>-3.5840000000000001</v>
      </c>
      <c r="AJ12" s="4">
        <v>-2.5830000000000002</v>
      </c>
      <c r="AK12" s="4">
        <v>-4.1689999999999996</v>
      </c>
      <c r="AL12" s="4">
        <v>-3.645</v>
      </c>
      <c r="AM12" s="4">
        <v>-3.456</v>
      </c>
      <c r="AN12" s="4">
        <v>-3.3540000000000001</v>
      </c>
      <c r="AO12" s="4">
        <v>-3.89</v>
      </c>
      <c r="AP12" s="4">
        <v>-3.6120000000000001</v>
      </c>
      <c r="AQ12" s="4">
        <v>-3.952</v>
      </c>
      <c r="AR12" s="4">
        <v>-3.806</v>
      </c>
      <c r="AS12" s="4">
        <v>-3.786</v>
      </c>
      <c r="AT12" s="4">
        <v>-3.7519999999999998</v>
      </c>
      <c r="AU12" s="4">
        <v>-2.6019999999999999</v>
      </c>
      <c r="AV12" s="4">
        <v>-2.8180000000000001</v>
      </c>
      <c r="AW12" s="4">
        <v>-3.7389999999999999</v>
      </c>
      <c r="AX12" s="4">
        <v>-3.5870000000000002</v>
      </c>
      <c r="AY12" s="4">
        <v>-4.1079999999999997</v>
      </c>
      <c r="AZ12" s="4">
        <v>-3.4140000000000001</v>
      </c>
      <c r="BA12" s="4">
        <v>-4.0540000000000003</v>
      </c>
      <c r="BB12" s="4">
        <v>-3.4780000000000002</v>
      </c>
      <c r="BC12" s="4">
        <v>-3.69</v>
      </c>
      <c r="BD12" s="4">
        <v>-3.7589999999999999</v>
      </c>
      <c r="BE12" s="4">
        <v>-3.7570000000000001</v>
      </c>
      <c r="BF12" s="4">
        <v>-3.9140000000000001</v>
      </c>
      <c r="BG12" s="4">
        <v>-4.0350000000000001</v>
      </c>
      <c r="BH12" s="4">
        <v>-3.536</v>
      </c>
      <c r="BI12" s="4">
        <v>-3.7010000000000001</v>
      </c>
      <c r="BJ12" s="4">
        <v>-3.7120000000000002</v>
      </c>
      <c r="BK12" s="4">
        <v>-3.992</v>
      </c>
      <c r="BL12" s="4">
        <v>-4.0010000000000003</v>
      </c>
      <c r="BM12" s="4">
        <v>-3.7029999999999998</v>
      </c>
      <c r="BN12" s="4">
        <v>-4.0609999999999999</v>
      </c>
      <c r="BO12" s="4">
        <v>-3.581</v>
      </c>
      <c r="BP12" s="4">
        <v>-4.1500000000000004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708A2-512D-4DBC-9528-50CA0106D7B5}">
  <dimension ref="A1:B68"/>
  <sheetViews>
    <sheetView workbookViewId="0">
      <selection activeCell="E7" sqref="E7"/>
    </sheetView>
  </sheetViews>
  <sheetFormatPr defaultRowHeight="14.4" x14ac:dyDescent="0.3"/>
  <cols>
    <col min="1" max="1" width="15.33203125" bestFit="1" customWidth="1"/>
  </cols>
  <sheetData>
    <row r="1" spans="1:2" x14ac:dyDescent="0.3">
      <c r="A1" s="1" t="s">
        <v>81</v>
      </c>
      <c r="B1" s="1" t="s">
        <v>82</v>
      </c>
    </row>
    <row r="2" spans="1:2" x14ac:dyDescent="0.3">
      <c r="A2" s="1" t="s">
        <v>66</v>
      </c>
      <c r="B2" s="1">
        <v>13.246</v>
      </c>
    </row>
    <row r="3" spans="1:2" x14ac:dyDescent="0.3">
      <c r="A3" s="1" t="s">
        <v>61</v>
      </c>
      <c r="B3" s="1">
        <v>11.804</v>
      </c>
    </row>
    <row r="4" spans="1:2" x14ac:dyDescent="0.3">
      <c r="A4" s="1" t="s">
        <v>22</v>
      </c>
      <c r="B4" s="1">
        <v>11.685</v>
      </c>
    </row>
    <row r="5" spans="1:2" x14ac:dyDescent="0.3">
      <c r="A5" s="1" t="s">
        <v>55</v>
      </c>
      <c r="B5" s="1">
        <v>10.282999999999999</v>
      </c>
    </row>
    <row r="6" spans="1:2" x14ac:dyDescent="0.3">
      <c r="A6" s="1" t="s">
        <v>62</v>
      </c>
      <c r="B6" s="1">
        <v>10.144</v>
      </c>
    </row>
    <row r="7" spans="1:2" x14ac:dyDescent="0.3">
      <c r="A7" s="1" t="s">
        <v>30</v>
      </c>
      <c r="B7" s="1">
        <v>10.006</v>
      </c>
    </row>
    <row r="8" spans="1:2" x14ac:dyDescent="0.3">
      <c r="A8" s="1" t="s">
        <v>73</v>
      </c>
      <c r="B8" s="1">
        <v>8.3000000000000007</v>
      </c>
    </row>
    <row r="9" spans="1:2" x14ac:dyDescent="0.3">
      <c r="A9" s="1" t="s">
        <v>34</v>
      </c>
      <c r="B9" s="1">
        <v>8.1270000000000007</v>
      </c>
    </row>
    <row r="10" spans="1:2" x14ac:dyDescent="0.3">
      <c r="A10" s="1" t="s">
        <v>33</v>
      </c>
      <c r="B10" s="1">
        <v>8.0779999999999994</v>
      </c>
    </row>
    <row r="11" spans="1:2" x14ac:dyDescent="0.3">
      <c r="A11" s="1" t="s">
        <v>49</v>
      </c>
      <c r="B11" s="1">
        <v>7.8319999999999999</v>
      </c>
    </row>
    <row r="12" spans="1:2" x14ac:dyDescent="0.3">
      <c r="A12" s="1" t="s">
        <v>71</v>
      </c>
      <c r="B12" s="1">
        <v>7.7389999999999999</v>
      </c>
    </row>
    <row r="13" spans="1:2" x14ac:dyDescent="0.3">
      <c r="A13" s="1" t="s">
        <v>32</v>
      </c>
      <c r="B13" s="1">
        <v>7.3789999999999996</v>
      </c>
    </row>
    <row r="14" spans="1:2" x14ac:dyDescent="0.3">
      <c r="A14" s="1" t="s">
        <v>18</v>
      </c>
      <c r="B14" s="1">
        <v>7.3150000000000004</v>
      </c>
    </row>
    <row r="15" spans="1:2" x14ac:dyDescent="0.3">
      <c r="A15" s="1" t="s">
        <v>67</v>
      </c>
      <c r="B15" s="1">
        <v>7.2210000000000001</v>
      </c>
    </row>
    <row r="16" spans="1:2" x14ac:dyDescent="0.3">
      <c r="A16" s="1" t="s">
        <v>23</v>
      </c>
      <c r="B16" s="1">
        <v>7.0759999999999996</v>
      </c>
    </row>
    <row r="17" spans="1:2" x14ac:dyDescent="0.3">
      <c r="A17" s="1" t="s">
        <v>24</v>
      </c>
      <c r="B17" s="1">
        <v>7.0250000000000004</v>
      </c>
    </row>
    <row r="18" spans="1:2" x14ac:dyDescent="0.3">
      <c r="A18" s="1" t="s">
        <v>25</v>
      </c>
      <c r="B18" s="1">
        <v>6.9409999999999998</v>
      </c>
    </row>
    <row r="19" spans="1:2" x14ac:dyDescent="0.3">
      <c r="A19" s="1" t="s">
        <v>16</v>
      </c>
      <c r="B19" s="1">
        <v>6.8070000000000004</v>
      </c>
    </row>
    <row r="20" spans="1:2" x14ac:dyDescent="0.3">
      <c r="A20" s="1" t="s">
        <v>72</v>
      </c>
      <c r="B20" s="1">
        <v>6.7869999999999999</v>
      </c>
    </row>
    <row r="21" spans="1:2" x14ac:dyDescent="0.3">
      <c r="A21" s="1" t="s">
        <v>56</v>
      </c>
      <c r="B21" s="1">
        <v>6.774</v>
      </c>
    </row>
    <row r="22" spans="1:2" x14ac:dyDescent="0.3">
      <c r="A22" s="1" t="s">
        <v>40</v>
      </c>
      <c r="B22" s="1">
        <v>6.6890000000000001</v>
      </c>
    </row>
    <row r="23" spans="1:2" x14ac:dyDescent="0.3">
      <c r="A23" s="1" t="s">
        <v>43</v>
      </c>
      <c r="B23" s="1">
        <v>6.3470000000000004</v>
      </c>
    </row>
    <row r="24" spans="1:2" x14ac:dyDescent="0.3">
      <c r="A24" s="1" t="s">
        <v>14</v>
      </c>
      <c r="B24" s="1">
        <v>6.335</v>
      </c>
    </row>
    <row r="25" spans="1:2" x14ac:dyDescent="0.3">
      <c r="A25" s="1" t="s">
        <v>70</v>
      </c>
      <c r="B25" s="1">
        <v>6.0960000000000001</v>
      </c>
    </row>
    <row r="26" spans="1:2" x14ac:dyDescent="0.3">
      <c r="A26" s="1" t="s">
        <v>63</v>
      </c>
      <c r="B26" s="1">
        <v>6.0549999999999997</v>
      </c>
    </row>
    <row r="27" spans="1:2" x14ac:dyDescent="0.3">
      <c r="A27" s="1" t="s">
        <v>78</v>
      </c>
      <c r="B27" s="1">
        <v>5.9390000000000001</v>
      </c>
    </row>
    <row r="28" spans="1:2" x14ac:dyDescent="0.3">
      <c r="A28" s="1" t="s">
        <v>17</v>
      </c>
      <c r="B28" s="1">
        <v>5.7939999999999996</v>
      </c>
    </row>
    <row r="29" spans="1:2" x14ac:dyDescent="0.3">
      <c r="A29" s="1" t="s">
        <v>31</v>
      </c>
      <c r="B29" s="1">
        <v>5.7279999999999998</v>
      </c>
    </row>
    <row r="30" spans="1:2" x14ac:dyDescent="0.3">
      <c r="A30" s="1" t="s">
        <v>44</v>
      </c>
      <c r="B30" s="1">
        <v>5.72</v>
      </c>
    </row>
    <row r="31" spans="1:2" x14ac:dyDescent="0.3">
      <c r="A31" s="1" t="s">
        <v>27</v>
      </c>
      <c r="B31" s="1">
        <v>5.6820000000000004</v>
      </c>
    </row>
    <row r="32" spans="1:2" x14ac:dyDescent="0.3">
      <c r="A32" s="1" t="s">
        <v>58</v>
      </c>
      <c r="B32" s="1">
        <v>5.6050000000000004</v>
      </c>
    </row>
    <row r="33" spans="1:2" x14ac:dyDescent="0.3">
      <c r="A33" s="1" t="s">
        <v>46</v>
      </c>
      <c r="B33" s="1">
        <v>5.5780000000000003</v>
      </c>
    </row>
    <row r="34" spans="1:2" x14ac:dyDescent="0.3">
      <c r="A34" s="1" t="s">
        <v>57</v>
      </c>
      <c r="B34" s="1">
        <v>5.5490000000000004</v>
      </c>
    </row>
    <row r="35" spans="1:2" x14ac:dyDescent="0.3">
      <c r="A35" s="1" t="s">
        <v>50</v>
      </c>
      <c r="B35" s="1">
        <v>5.4950000000000001</v>
      </c>
    </row>
    <row r="36" spans="1:2" x14ac:dyDescent="0.3">
      <c r="A36" s="1" t="s">
        <v>36</v>
      </c>
      <c r="B36" s="1">
        <v>5.3070000000000004</v>
      </c>
    </row>
    <row r="37" spans="1:2" x14ac:dyDescent="0.3">
      <c r="A37" s="1" t="s">
        <v>38</v>
      </c>
      <c r="B37" s="1">
        <v>5.1130000000000004</v>
      </c>
    </row>
    <row r="38" spans="1:2" x14ac:dyDescent="0.3">
      <c r="A38" s="1" t="s">
        <v>48</v>
      </c>
      <c r="B38" s="1">
        <v>5.0709999999999997</v>
      </c>
    </row>
    <row r="39" spans="1:2" x14ac:dyDescent="0.3">
      <c r="A39" s="1" t="s">
        <v>69</v>
      </c>
      <c r="B39" s="1">
        <v>5.0209999999999999</v>
      </c>
    </row>
    <row r="40" spans="1:2" x14ac:dyDescent="0.3">
      <c r="A40" s="1" t="s">
        <v>26</v>
      </c>
      <c r="B40" s="1">
        <v>4.9980000000000002</v>
      </c>
    </row>
    <row r="41" spans="1:2" x14ac:dyDescent="0.3">
      <c r="A41" s="1" t="s">
        <v>39</v>
      </c>
      <c r="B41" s="1">
        <v>4.9980000000000002</v>
      </c>
    </row>
    <row r="42" spans="1:2" x14ac:dyDescent="0.3">
      <c r="A42" s="1" t="s">
        <v>74</v>
      </c>
      <c r="B42" s="1">
        <v>4.9489999999999998</v>
      </c>
    </row>
    <row r="43" spans="1:2" x14ac:dyDescent="0.3">
      <c r="A43" s="1" t="s">
        <v>21</v>
      </c>
      <c r="B43" s="1">
        <v>4.9210000000000003</v>
      </c>
    </row>
    <row r="44" spans="1:2" x14ac:dyDescent="0.3">
      <c r="A44" s="1" t="s">
        <v>52</v>
      </c>
      <c r="B44" s="1">
        <v>4.8479999999999999</v>
      </c>
    </row>
    <row r="45" spans="1:2" x14ac:dyDescent="0.3">
      <c r="A45" s="1" t="s">
        <v>42</v>
      </c>
      <c r="B45" s="1">
        <v>4.7990000000000004</v>
      </c>
    </row>
    <row r="46" spans="1:2" x14ac:dyDescent="0.3">
      <c r="A46" s="1" t="s">
        <v>64</v>
      </c>
      <c r="B46" s="1">
        <v>4.7240000000000002</v>
      </c>
    </row>
    <row r="47" spans="1:2" x14ac:dyDescent="0.3">
      <c r="A47" s="1" t="s">
        <v>35</v>
      </c>
      <c r="B47" s="1">
        <v>4.7210000000000001</v>
      </c>
    </row>
    <row r="48" spans="1:2" x14ac:dyDescent="0.3">
      <c r="A48" s="1" t="s">
        <v>54</v>
      </c>
      <c r="B48" s="1">
        <v>4.6959999999999997</v>
      </c>
    </row>
    <row r="49" spans="1:2" x14ac:dyDescent="0.3">
      <c r="A49" s="1" t="s">
        <v>19</v>
      </c>
      <c r="B49" s="1">
        <v>4.68</v>
      </c>
    </row>
    <row r="50" spans="1:2" x14ac:dyDescent="0.3">
      <c r="A50" s="1" t="s">
        <v>37</v>
      </c>
      <c r="B50" s="1">
        <v>4.6559999999999997</v>
      </c>
    </row>
    <row r="51" spans="1:2" x14ac:dyDescent="0.3">
      <c r="A51" s="1" t="s">
        <v>47</v>
      </c>
      <c r="B51" s="1">
        <v>4.6319999999999997</v>
      </c>
    </row>
    <row r="52" spans="1:2" x14ac:dyDescent="0.3">
      <c r="A52" s="1" t="s">
        <v>20</v>
      </c>
      <c r="B52" s="1">
        <v>4.6180000000000003</v>
      </c>
    </row>
    <row r="53" spans="1:2" x14ac:dyDescent="0.3">
      <c r="A53" s="1" t="s">
        <v>53</v>
      </c>
      <c r="B53" s="1">
        <v>4.6079999999999997</v>
      </c>
    </row>
    <row r="54" spans="1:2" x14ac:dyDescent="0.3">
      <c r="A54" s="1" t="s">
        <v>29</v>
      </c>
      <c r="B54" s="1">
        <v>4.5650000000000004</v>
      </c>
    </row>
    <row r="55" spans="1:2" x14ac:dyDescent="0.3">
      <c r="A55" s="1" t="s">
        <v>75</v>
      </c>
      <c r="B55" s="1">
        <v>4.2450000000000001</v>
      </c>
    </row>
    <row r="56" spans="1:2" x14ac:dyDescent="0.3">
      <c r="A56" s="1" t="s">
        <v>41</v>
      </c>
      <c r="B56" s="1">
        <v>4.07</v>
      </c>
    </row>
    <row r="57" spans="1:2" x14ac:dyDescent="0.3">
      <c r="A57" s="1" t="s">
        <v>15</v>
      </c>
      <c r="B57" s="1">
        <v>4.0640000000000001</v>
      </c>
    </row>
    <row r="58" spans="1:2" x14ac:dyDescent="0.3">
      <c r="A58" s="1" t="s">
        <v>79</v>
      </c>
      <c r="B58" s="1">
        <v>3.7789999999999999</v>
      </c>
    </row>
    <row r="59" spans="1:2" x14ac:dyDescent="0.3">
      <c r="A59" s="1" t="s">
        <v>60</v>
      </c>
      <c r="B59" s="1">
        <v>3.6019999999999999</v>
      </c>
    </row>
    <row r="60" spans="1:2" x14ac:dyDescent="0.3">
      <c r="A60" s="1" t="s">
        <v>77</v>
      </c>
      <c r="B60" s="1">
        <v>3.5219999999999998</v>
      </c>
    </row>
    <row r="61" spans="1:2" x14ac:dyDescent="0.3">
      <c r="A61" s="1" t="s">
        <v>59</v>
      </c>
      <c r="B61" s="1">
        <v>3.512</v>
      </c>
    </row>
    <row r="62" spans="1:2" x14ac:dyDescent="0.3">
      <c r="A62" s="1" t="s">
        <v>65</v>
      </c>
      <c r="B62" s="1">
        <v>3.4740000000000002</v>
      </c>
    </row>
    <row r="63" spans="1:2" x14ac:dyDescent="0.3">
      <c r="A63" s="1" t="s">
        <v>76</v>
      </c>
      <c r="B63" s="1">
        <v>3.254</v>
      </c>
    </row>
    <row r="64" spans="1:2" x14ac:dyDescent="0.3">
      <c r="A64" s="1" t="s">
        <v>28</v>
      </c>
      <c r="B64" s="1">
        <v>3.1549999999999998</v>
      </c>
    </row>
    <row r="65" spans="1:2" x14ac:dyDescent="0.3">
      <c r="A65" s="1" t="s">
        <v>45</v>
      </c>
      <c r="B65" s="1">
        <v>2.794</v>
      </c>
    </row>
    <row r="66" spans="1:2" x14ac:dyDescent="0.3">
      <c r="A66" s="1" t="s">
        <v>68</v>
      </c>
      <c r="B66" s="1">
        <v>2.6779999999999999</v>
      </c>
    </row>
    <row r="67" spans="1:2" x14ac:dyDescent="0.3">
      <c r="A67" s="1" t="s">
        <v>80</v>
      </c>
      <c r="B67" s="1">
        <v>2.4420000000000002</v>
      </c>
    </row>
    <row r="68" spans="1:2" x14ac:dyDescent="0.3">
      <c r="A68" s="1" t="s">
        <v>51</v>
      </c>
      <c r="B68" s="1">
        <v>2.0699999999999998</v>
      </c>
    </row>
  </sheetData>
  <sortState xmlns:xlrd2="http://schemas.microsoft.com/office/spreadsheetml/2017/richdata2" ref="A2:B68">
    <sortCondition descending="1" ref="B2:B68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E8EE0-ECDE-4D15-8AE2-07E0C35B1425}">
  <dimension ref="A1:B68"/>
  <sheetViews>
    <sheetView workbookViewId="0">
      <selection activeCell="E4" sqref="E4"/>
    </sheetView>
  </sheetViews>
  <sheetFormatPr defaultRowHeight="14.4" x14ac:dyDescent="0.3"/>
  <cols>
    <col min="1" max="1" width="15.33203125" bestFit="1" customWidth="1"/>
  </cols>
  <sheetData>
    <row r="1" spans="1:2" x14ac:dyDescent="0.3">
      <c r="A1" s="1" t="s">
        <v>83</v>
      </c>
      <c r="B1" s="1" t="s">
        <v>82</v>
      </c>
    </row>
    <row r="2" spans="1:2" x14ac:dyDescent="0.3">
      <c r="A2" s="1" t="s">
        <v>66</v>
      </c>
      <c r="B2" s="1">
        <v>28.657</v>
      </c>
    </row>
    <row r="3" spans="1:2" x14ac:dyDescent="0.3">
      <c r="A3" s="1" t="s">
        <v>55</v>
      </c>
      <c r="B3" s="1">
        <v>24.696999999999999</v>
      </c>
    </row>
    <row r="4" spans="1:2" x14ac:dyDescent="0.3">
      <c r="A4" s="1" t="s">
        <v>61</v>
      </c>
      <c r="B4" s="1">
        <v>24.484000000000002</v>
      </c>
    </row>
    <row r="5" spans="1:2" x14ac:dyDescent="0.3">
      <c r="A5" s="1" t="s">
        <v>62</v>
      </c>
      <c r="B5" s="1">
        <v>22.971</v>
      </c>
    </row>
    <row r="6" spans="1:2" x14ac:dyDescent="0.3">
      <c r="A6" s="1" t="s">
        <v>30</v>
      </c>
      <c r="B6" s="1">
        <v>22.091000000000001</v>
      </c>
    </row>
    <row r="7" spans="1:2" x14ac:dyDescent="0.3">
      <c r="A7" s="1" t="s">
        <v>22</v>
      </c>
      <c r="B7" s="1">
        <v>21.728999999999999</v>
      </c>
    </row>
    <row r="8" spans="1:2" x14ac:dyDescent="0.3">
      <c r="A8" s="1" t="s">
        <v>43</v>
      </c>
      <c r="B8" s="1">
        <v>21.574999999999999</v>
      </c>
    </row>
    <row r="9" spans="1:2" x14ac:dyDescent="0.3">
      <c r="A9" s="1" t="s">
        <v>72</v>
      </c>
      <c r="B9" s="1">
        <v>20.721</v>
      </c>
    </row>
    <row r="10" spans="1:2" x14ac:dyDescent="0.3">
      <c r="A10" s="1" t="s">
        <v>14</v>
      </c>
      <c r="B10" s="1">
        <v>20.297999999999998</v>
      </c>
    </row>
    <row r="11" spans="1:2" x14ac:dyDescent="0.3">
      <c r="A11" s="1" t="s">
        <v>33</v>
      </c>
      <c r="B11" s="1">
        <v>18.677</v>
      </c>
    </row>
    <row r="12" spans="1:2" x14ac:dyDescent="0.3">
      <c r="A12" s="1" t="s">
        <v>49</v>
      </c>
      <c r="B12" s="1">
        <v>18.271999999999998</v>
      </c>
    </row>
    <row r="13" spans="1:2" x14ac:dyDescent="0.3">
      <c r="A13" s="1" t="s">
        <v>23</v>
      </c>
      <c r="B13" s="1">
        <v>17.863</v>
      </c>
    </row>
    <row r="14" spans="1:2" x14ac:dyDescent="0.3">
      <c r="A14" s="1" t="s">
        <v>50</v>
      </c>
      <c r="B14" s="1">
        <v>17.617999999999999</v>
      </c>
    </row>
    <row r="15" spans="1:2" x14ac:dyDescent="0.3">
      <c r="A15" s="1" t="s">
        <v>71</v>
      </c>
      <c r="B15" s="1">
        <v>17.495000000000001</v>
      </c>
    </row>
    <row r="16" spans="1:2" x14ac:dyDescent="0.3">
      <c r="A16" s="1" t="s">
        <v>32</v>
      </c>
      <c r="B16" s="1">
        <v>17.058</v>
      </c>
    </row>
    <row r="17" spans="1:2" x14ac:dyDescent="0.3">
      <c r="A17" s="1" t="s">
        <v>18</v>
      </c>
      <c r="B17" s="1">
        <v>16.504000000000001</v>
      </c>
    </row>
    <row r="18" spans="1:2" x14ac:dyDescent="0.3">
      <c r="A18" s="1" t="s">
        <v>73</v>
      </c>
      <c r="B18" s="1">
        <v>16.488</v>
      </c>
    </row>
    <row r="19" spans="1:2" x14ac:dyDescent="0.3">
      <c r="A19" s="1" t="s">
        <v>25</v>
      </c>
      <c r="B19" s="1">
        <v>16.408999999999999</v>
      </c>
    </row>
    <row r="20" spans="1:2" x14ac:dyDescent="0.3">
      <c r="A20" s="1" t="s">
        <v>58</v>
      </c>
      <c r="B20" s="1">
        <v>16.134</v>
      </c>
    </row>
    <row r="21" spans="1:2" x14ac:dyDescent="0.3">
      <c r="A21" s="1" t="s">
        <v>56</v>
      </c>
      <c r="B21" s="1">
        <v>15.750999999999999</v>
      </c>
    </row>
    <row r="22" spans="1:2" x14ac:dyDescent="0.3">
      <c r="A22" s="1" t="s">
        <v>24</v>
      </c>
      <c r="B22" s="1">
        <v>15.663</v>
      </c>
    </row>
    <row r="23" spans="1:2" x14ac:dyDescent="0.3">
      <c r="A23" s="1" t="s">
        <v>57</v>
      </c>
      <c r="B23" s="1">
        <v>15.439</v>
      </c>
    </row>
    <row r="24" spans="1:2" x14ac:dyDescent="0.3">
      <c r="A24" s="1" t="s">
        <v>26</v>
      </c>
      <c r="B24" s="1">
        <v>15.352</v>
      </c>
    </row>
    <row r="25" spans="1:2" x14ac:dyDescent="0.3">
      <c r="A25" s="1" t="s">
        <v>16</v>
      </c>
      <c r="B25" s="1">
        <v>15.154</v>
      </c>
    </row>
    <row r="26" spans="1:2" x14ac:dyDescent="0.3">
      <c r="A26" s="1" t="s">
        <v>74</v>
      </c>
      <c r="B26" s="1">
        <v>14.801</v>
      </c>
    </row>
    <row r="27" spans="1:2" x14ac:dyDescent="0.3">
      <c r="A27" s="1" t="s">
        <v>35</v>
      </c>
      <c r="B27" s="1">
        <v>14.39</v>
      </c>
    </row>
    <row r="28" spans="1:2" x14ac:dyDescent="0.3">
      <c r="A28" s="1" t="s">
        <v>47</v>
      </c>
      <c r="B28" s="1">
        <v>14.292999999999999</v>
      </c>
    </row>
    <row r="29" spans="1:2" x14ac:dyDescent="0.3">
      <c r="A29" s="1" t="s">
        <v>44</v>
      </c>
      <c r="B29" s="1">
        <v>13.766999999999999</v>
      </c>
    </row>
    <row r="30" spans="1:2" x14ac:dyDescent="0.3">
      <c r="A30" s="1" t="s">
        <v>54</v>
      </c>
      <c r="B30" s="1">
        <v>13.69</v>
      </c>
    </row>
    <row r="31" spans="1:2" x14ac:dyDescent="0.3">
      <c r="A31" s="1" t="s">
        <v>42</v>
      </c>
      <c r="B31" s="1">
        <v>13.461</v>
      </c>
    </row>
    <row r="32" spans="1:2" x14ac:dyDescent="0.3">
      <c r="A32" s="1" t="s">
        <v>40</v>
      </c>
      <c r="B32" s="1">
        <v>13.452</v>
      </c>
    </row>
    <row r="33" spans="1:2" x14ac:dyDescent="0.3">
      <c r="A33" s="1" t="s">
        <v>34</v>
      </c>
      <c r="B33" s="1">
        <v>13.343</v>
      </c>
    </row>
    <row r="34" spans="1:2" x14ac:dyDescent="0.3">
      <c r="A34" s="1" t="s">
        <v>70</v>
      </c>
      <c r="B34" s="1">
        <v>13.195</v>
      </c>
    </row>
    <row r="35" spans="1:2" x14ac:dyDescent="0.3">
      <c r="A35" s="1" t="s">
        <v>48</v>
      </c>
      <c r="B35" s="1">
        <v>12.920999999999999</v>
      </c>
    </row>
    <row r="36" spans="1:2" x14ac:dyDescent="0.3">
      <c r="A36" s="1" t="s">
        <v>38</v>
      </c>
      <c r="B36" s="1">
        <v>12.723000000000001</v>
      </c>
    </row>
    <row r="37" spans="1:2" x14ac:dyDescent="0.3">
      <c r="A37" s="1" t="s">
        <v>17</v>
      </c>
      <c r="B37" s="1">
        <v>12.63</v>
      </c>
    </row>
    <row r="38" spans="1:2" x14ac:dyDescent="0.3">
      <c r="A38" s="1" t="s">
        <v>77</v>
      </c>
      <c r="B38" s="1">
        <v>12.314</v>
      </c>
    </row>
    <row r="39" spans="1:2" x14ac:dyDescent="0.3">
      <c r="A39" s="1" t="s">
        <v>78</v>
      </c>
      <c r="B39" s="1">
        <v>12.279</v>
      </c>
    </row>
    <row r="40" spans="1:2" x14ac:dyDescent="0.3">
      <c r="A40" s="1" t="s">
        <v>64</v>
      </c>
      <c r="B40" s="1">
        <v>12.273</v>
      </c>
    </row>
    <row r="41" spans="1:2" x14ac:dyDescent="0.3">
      <c r="A41" s="1" t="s">
        <v>37</v>
      </c>
      <c r="B41" s="1">
        <v>11.992000000000001</v>
      </c>
    </row>
    <row r="42" spans="1:2" x14ac:dyDescent="0.3">
      <c r="A42" s="1" t="s">
        <v>46</v>
      </c>
      <c r="B42" s="1">
        <v>11.856</v>
      </c>
    </row>
    <row r="43" spans="1:2" x14ac:dyDescent="0.3">
      <c r="A43" s="1" t="s">
        <v>52</v>
      </c>
      <c r="B43" s="1">
        <v>11.803000000000001</v>
      </c>
    </row>
    <row r="44" spans="1:2" x14ac:dyDescent="0.3">
      <c r="A44" s="1" t="s">
        <v>27</v>
      </c>
      <c r="B44" s="1">
        <v>11.782999999999999</v>
      </c>
    </row>
    <row r="45" spans="1:2" x14ac:dyDescent="0.3">
      <c r="A45" s="1" t="s">
        <v>67</v>
      </c>
      <c r="B45" s="1">
        <v>11.734999999999999</v>
      </c>
    </row>
    <row r="46" spans="1:2" x14ac:dyDescent="0.3">
      <c r="A46" s="1" t="s">
        <v>69</v>
      </c>
      <c r="B46" s="1">
        <v>11.193</v>
      </c>
    </row>
    <row r="47" spans="1:2" x14ac:dyDescent="0.3">
      <c r="A47" s="1" t="s">
        <v>31</v>
      </c>
      <c r="B47" s="1">
        <v>11.167</v>
      </c>
    </row>
    <row r="48" spans="1:2" x14ac:dyDescent="0.3">
      <c r="A48" s="1" t="s">
        <v>15</v>
      </c>
      <c r="B48" s="1">
        <v>11.081</v>
      </c>
    </row>
    <row r="49" spans="1:2" x14ac:dyDescent="0.3">
      <c r="A49" s="1" t="s">
        <v>79</v>
      </c>
      <c r="B49" s="1">
        <v>10.973000000000001</v>
      </c>
    </row>
    <row r="50" spans="1:2" x14ac:dyDescent="0.3">
      <c r="A50" s="1" t="s">
        <v>39</v>
      </c>
      <c r="B50" s="1">
        <v>10.895</v>
      </c>
    </row>
    <row r="51" spans="1:2" x14ac:dyDescent="0.3">
      <c r="A51" s="1" t="s">
        <v>36</v>
      </c>
      <c r="B51" s="1">
        <v>10.67</v>
      </c>
    </row>
    <row r="52" spans="1:2" x14ac:dyDescent="0.3">
      <c r="A52" s="1" t="s">
        <v>63</v>
      </c>
      <c r="B52" s="1">
        <v>10.025</v>
      </c>
    </row>
    <row r="53" spans="1:2" x14ac:dyDescent="0.3">
      <c r="A53" s="1" t="s">
        <v>19</v>
      </c>
      <c r="B53" s="1">
        <v>9.9269999999999996</v>
      </c>
    </row>
    <row r="54" spans="1:2" x14ac:dyDescent="0.3">
      <c r="A54" s="1" t="s">
        <v>29</v>
      </c>
      <c r="B54" s="1">
        <v>9.375</v>
      </c>
    </row>
    <row r="55" spans="1:2" x14ac:dyDescent="0.3">
      <c r="A55" s="1" t="s">
        <v>20</v>
      </c>
      <c r="B55" s="1">
        <v>9.1150000000000002</v>
      </c>
    </row>
    <row r="56" spans="1:2" x14ac:dyDescent="0.3">
      <c r="A56" s="1" t="s">
        <v>75</v>
      </c>
      <c r="B56" s="1">
        <v>8.6340000000000003</v>
      </c>
    </row>
    <row r="57" spans="1:2" x14ac:dyDescent="0.3">
      <c r="A57" s="1" t="s">
        <v>41</v>
      </c>
      <c r="B57" s="1">
        <v>8.2829999999999995</v>
      </c>
    </row>
    <row r="58" spans="1:2" x14ac:dyDescent="0.3">
      <c r="A58" s="1" t="s">
        <v>59</v>
      </c>
      <c r="B58" s="1">
        <v>8.1639999999999997</v>
      </c>
    </row>
    <row r="59" spans="1:2" x14ac:dyDescent="0.3">
      <c r="A59" s="1" t="s">
        <v>60</v>
      </c>
      <c r="B59" s="1">
        <v>7.6479999999999997</v>
      </c>
    </row>
    <row r="60" spans="1:2" x14ac:dyDescent="0.3">
      <c r="A60" s="1" t="s">
        <v>76</v>
      </c>
      <c r="B60" s="1">
        <v>7.4889999999999999</v>
      </c>
    </row>
    <row r="61" spans="1:2" x14ac:dyDescent="0.3">
      <c r="A61" s="1" t="s">
        <v>68</v>
      </c>
      <c r="B61" s="1">
        <v>7.4870000000000001</v>
      </c>
    </row>
    <row r="62" spans="1:2" x14ac:dyDescent="0.3">
      <c r="A62" s="1" t="s">
        <v>28</v>
      </c>
      <c r="B62" s="1">
        <v>7.0529999999999999</v>
      </c>
    </row>
    <row r="63" spans="1:2" x14ac:dyDescent="0.3">
      <c r="A63" s="1" t="s">
        <v>53</v>
      </c>
      <c r="B63" s="1">
        <v>6.8310000000000004</v>
      </c>
    </row>
    <row r="64" spans="1:2" x14ac:dyDescent="0.3">
      <c r="A64" s="1" t="s">
        <v>51</v>
      </c>
      <c r="B64" s="1">
        <v>6.4459999999999997</v>
      </c>
    </row>
    <row r="65" spans="1:2" x14ac:dyDescent="0.3">
      <c r="A65" s="1" t="s">
        <v>21</v>
      </c>
      <c r="B65" s="1">
        <v>6.2149999999999999</v>
      </c>
    </row>
    <row r="66" spans="1:2" x14ac:dyDescent="0.3">
      <c r="A66" s="1" t="s">
        <v>45</v>
      </c>
      <c r="B66" s="1">
        <v>6.1980000000000004</v>
      </c>
    </row>
    <row r="67" spans="1:2" x14ac:dyDescent="0.3">
      <c r="A67" s="1" t="s">
        <v>65</v>
      </c>
      <c r="B67" s="1">
        <v>5.4610000000000003</v>
      </c>
    </row>
    <row r="68" spans="1:2" x14ac:dyDescent="0.3">
      <c r="A68" s="1" t="s">
        <v>80</v>
      </c>
      <c r="B68" s="1">
        <v>1.758</v>
      </c>
    </row>
  </sheetData>
  <sortState xmlns:xlrd2="http://schemas.microsoft.com/office/spreadsheetml/2017/richdata2" ref="A2:B68">
    <sortCondition descending="1" ref="B2:B68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572F-BF19-4E79-B882-2004C55321A8}">
  <dimension ref="A1:BP7"/>
  <sheetViews>
    <sheetView workbookViewId="0">
      <selection activeCell="C13" sqref="C13"/>
    </sheetView>
  </sheetViews>
  <sheetFormatPr defaultRowHeight="14.4" x14ac:dyDescent="0.3"/>
  <cols>
    <col min="1" max="1" width="12.5546875" bestFit="1" customWidth="1"/>
  </cols>
  <sheetData>
    <row r="1" spans="1:68" x14ac:dyDescent="0.3">
      <c r="A1" s="1" t="s">
        <v>85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</row>
    <row r="2" spans="1:68" x14ac:dyDescent="0.3">
      <c r="A2" s="1" t="s">
        <v>86</v>
      </c>
      <c r="B2" s="1">
        <v>1.478</v>
      </c>
      <c r="C2" s="1">
        <v>5.5590000000000002</v>
      </c>
      <c r="D2" s="1">
        <v>8.0280000000000005</v>
      </c>
      <c r="E2" s="1">
        <v>2.8780000000000001</v>
      </c>
      <c r="F2" s="1">
        <v>6.8490000000000002</v>
      </c>
      <c r="G2" s="1">
        <v>2.9449999999999998</v>
      </c>
      <c r="H2" s="1">
        <v>2.79</v>
      </c>
      <c r="I2" s="1">
        <v>2.298</v>
      </c>
      <c r="J2" s="1">
        <v>8.7449999999999992</v>
      </c>
      <c r="K2" s="1">
        <v>6.3630000000000004</v>
      </c>
      <c r="L2" s="1">
        <v>3.6520000000000001</v>
      </c>
      <c r="M2" s="1">
        <v>4.5389999999999997</v>
      </c>
      <c r="N2" s="1">
        <v>6.8019999999999996</v>
      </c>
      <c r="O2" s="1">
        <v>4.7039999999999997</v>
      </c>
      <c r="P2" s="1">
        <v>1.861</v>
      </c>
      <c r="Q2" s="1">
        <v>7.91</v>
      </c>
      <c r="R2" s="1">
        <v>5.7789999999999999</v>
      </c>
      <c r="S2" s="1">
        <v>7.2690000000000001</v>
      </c>
      <c r="T2" s="1">
        <v>7.3070000000000004</v>
      </c>
      <c r="U2" s="1">
        <v>5.5679999999999996</v>
      </c>
      <c r="V2" s="1">
        <v>0.86399999999999999</v>
      </c>
      <c r="W2" s="1">
        <v>4.0060000000000002</v>
      </c>
      <c r="X2" s="1">
        <v>3.3380000000000001</v>
      </c>
      <c r="Y2" s="1">
        <v>3.3769999999999998</v>
      </c>
      <c r="Z2" s="1">
        <v>3.802</v>
      </c>
      <c r="AA2" s="1">
        <v>2.3149999999999999</v>
      </c>
      <c r="AB2" s="1">
        <v>6.5940000000000003</v>
      </c>
      <c r="AC2" s="1">
        <v>3.7080000000000002</v>
      </c>
      <c r="AD2" s="1">
        <v>2.6549999999999998</v>
      </c>
      <c r="AE2" s="1">
        <v>6.6449999999999996</v>
      </c>
      <c r="AF2" s="1">
        <v>10.372999999999999</v>
      </c>
      <c r="AG2" s="1">
        <v>3.7280000000000002</v>
      </c>
      <c r="AH2" s="1">
        <v>3.468</v>
      </c>
      <c r="AI2" s="1">
        <v>4.0919999999999996</v>
      </c>
      <c r="AJ2" s="1">
        <v>8.9749999999999996</v>
      </c>
      <c r="AK2" s="1">
        <v>5.1429999999999998</v>
      </c>
      <c r="AL2" s="1">
        <v>6.7270000000000003</v>
      </c>
      <c r="AM2" s="1">
        <v>2.2610000000000001</v>
      </c>
      <c r="AN2" s="1">
        <v>6.8540000000000001</v>
      </c>
      <c r="AO2" s="1">
        <v>1.0529999999999999</v>
      </c>
      <c r="AP2" s="1">
        <v>3.3250000000000002</v>
      </c>
      <c r="AQ2" s="1">
        <v>3.9929999999999999</v>
      </c>
      <c r="AR2" s="1">
        <v>5.4569999999999999</v>
      </c>
      <c r="AS2" s="1">
        <v>3.4359999999999999</v>
      </c>
      <c r="AT2" s="1">
        <v>3.52</v>
      </c>
      <c r="AU2" s="1">
        <v>7.0730000000000004</v>
      </c>
      <c r="AV2" s="1">
        <v>12.037000000000001</v>
      </c>
      <c r="AW2" s="1">
        <v>7.3470000000000004</v>
      </c>
      <c r="AX2" s="1">
        <v>1.877</v>
      </c>
      <c r="AY2" s="1">
        <v>2.923</v>
      </c>
      <c r="AZ2" s="1">
        <v>2.9540000000000002</v>
      </c>
      <c r="BA2" s="1">
        <v>4.2130000000000001</v>
      </c>
      <c r="BB2" s="1">
        <v>5.4779999999999998</v>
      </c>
      <c r="BC2" s="1">
        <v>3.3719999999999999</v>
      </c>
      <c r="BD2" s="1">
        <v>5.9740000000000002</v>
      </c>
      <c r="BE2" s="1">
        <v>6.08</v>
      </c>
      <c r="BF2" s="1">
        <v>4.0430000000000001</v>
      </c>
      <c r="BG2" s="1">
        <v>6.0179999999999998</v>
      </c>
      <c r="BH2" s="1">
        <v>7.6890000000000001</v>
      </c>
      <c r="BI2" s="1">
        <v>4.9539999999999997</v>
      </c>
      <c r="BJ2" s="1">
        <v>5.0910000000000002</v>
      </c>
      <c r="BK2" s="1">
        <v>5.8620000000000001</v>
      </c>
      <c r="BL2" s="1">
        <v>1.915</v>
      </c>
      <c r="BM2" s="1">
        <v>2.6459999999999999</v>
      </c>
      <c r="BN2" s="1">
        <v>6.1790000000000003</v>
      </c>
      <c r="BO2" s="1">
        <v>5.8550000000000004</v>
      </c>
      <c r="BP2" s="1">
        <v>2.7450000000000001</v>
      </c>
    </row>
    <row r="3" spans="1:68" x14ac:dyDescent="0.3">
      <c r="A3" s="1" t="s">
        <v>87</v>
      </c>
      <c r="B3" s="1">
        <v>11.425000000000001</v>
      </c>
      <c r="C3" s="1">
        <v>12.16</v>
      </c>
      <c r="D3" s="1">
        <v>8.2710000000000008</v>
      </c>
      <c r="E3" s="1">
        <v>4.0549999999999997</v>
      </c>
      <c r="F3" s="1">
        <v>10.481</v>
      </c>
      <c r="G3" s="1">
        <v>7.71</v>
      </c>
      <c r="H3" s="1">
        <v>7.0439999999999996</v>
      </c>
      <c r="I3" s="1">
        <v>6.2569999999999997</v>
      </c>
      <c r="J3" s="1">
        <v>8.8849999999999998</v>
      </c>
      <c r="K3" s="1">
        <v>7.3840000000000003</v>
      </c>
      <c r="L3" s="1">
        <v>7.5250000000000004</v>
      </c>
      <c r="M3" s="1">
        <v>9.4060000000000006</v>
      </c>
      <c r="N3" s="1">
        <v>7.0919999999999996</v>
      </c>
      <c r="O3" s="1">
        <v>7.4610000000000003</v>
      </c>
      <c r="P3" s="1">
        <v>5.44</v>
      </c>
      <c r="Q3" s="1">
        <v>6.1230000000000002</v>
      </c>
      <c r="R3" s="1">
        <v>7.048</v>
      </c>
      <c r="S3" s="1">
        <v>7.8360000000000003</v>
      </c>
      <c r="T3" s="1">
        <v>6.8840000000000003</v>
      </c>
      <c r="U3" s="1">
        <v>5.6630000000000003</v>
      </c>
      <c r="V3" s="1">
        <v>3.93</v>
      </c>
      <c r="W3" s="1">
        <v>8.0549999999999997</v>
      </c>
      <c r="X3" s="1">
        <v>5.6210000000000004</v>
      </c>
      <c r="Y3" s="1">
        <v>6.39</v>
      </c>
      <c r="Z3" s="1">
        <v>6.0830000000000002</v>
      </c>
      <c r="AA3" s="1">
        <v>5.8520000000000003</v>
      </c>
      <c r="AB3" s="1">
        <v>5.99</v>
      </c>
      <c r="AC3" s="1">
        <v>6.7469999999999999</v>
      </c>
      <c r="AD3" s="1">
        <v>6.5650000000000004</v>
      </c>
      <c r="AE3" s="1">
        <v>14.904</v>
      </c>
      <c r="AF3" s="1">
        <v>11.326000000000001</v>
      </c>
      <c r="AG3" s="1">
        <v>6.1</v>
      </c>
      <c r="AH3" s="1">
        <v>6.4089999999999998</v>
      </c>
      <c r="AI3" s="1">
        <v>6.56</v>
      </c>
      <c r="AJ3" s="1">
        <v>6.1559999999999997</v>
      </c>
      <c r="AK3" s="1">
        <v>5.2290000000000001</v>
      </c>
      <c r="AL3" s="1">
        <v>10.047000000000001</v>
      </c>
      <c r="AM3" s="1">
        <v>7.1319999999999997</v>
      </c>
      <c r="AN3" s="1">
        <v>5.4889999999999999</v>
      </c>
      <c r="AO3" s="1">
        <v>5.569</v>
      </c>
      <c r="AP3" s="1">
        <v>7.2450000000000001</v>
      </c>
      <c r="AQ3" s="1">
        <v>7.3609999999999998</v>
      </c>
      <c r="AR3" s="1">
        <v>6.9880000000000004</v>
      </c>
      <c r="AS3" s="1">
        <v>5.59</v>
      </c>
      <c r="AT3" s="1">
        <v>7.6859999999999999</v>
      </c>
      <c r="AU3" s="1">
        <v>7.3959999999999999</v>
      </c>
      <c r="AV3" s="1">
        <v>8.6340000000000003</v>
      </c>
      <c r="AW3" s="1">
        <v>8.9969999999999999</v>
      </c>
      <c r="AX3" s="1">
        <v>3.6840000000000002</v>
      </c>
      <c r="AY3" s="1">
        <v>6.8479999999999999</v>
      </c>
      <c r="AZ3" s="1">
        <v>6.81</v>
      </c>
      <c r="BA3" s="1">
        <v>6.4939999999999998</v>
      </c>
      <c r="BB3" s="1">
        <v>13.194000000000001</v>
      </c>
      <c r="BC3" s="1">
        <v>5.827</v>
      </c>
      <c r="BD3" s="1">
        <v>11.129</v>
      </c>
      <c r="BE3" s="1">
        <v>5.718</v>
      </c>
      <c r="BF3" s="1">
        <v>10.875</v>
      </c>
      <c r="BG3" s="1">
        <v>5.5259999999999998</v>
      </c>
      <c r="BH3" s="1">
        <v>6.2409999999999997</v>
      </c>
      <c r="BI3" s="1">
        <v>9.2420000000000009</v>
      </c>
      <c r="BJ3" s="1">
        <v>5.8150000000000004</v>
      </c>
      <c r="BK3" s="1">
        <v>7.1719999999999997</v>
      </c>
      <c r="BL3" s="1">
        <v>6.2590000000000003</v>
      </c>
      <c r="BM3" s="1">
        <v>8.6950000000000003</v>
      </c>
      <c r="BN3" s="1">
        <v>7.242</v>
      </c>
      <c r="BO3" s="1">
        <v>7.609</v>
      </c>
      <c r="BP3" s="1">
        <v>1.1679999999999999</v>
      </c>
    </row>
    <row r="4" spans="1:68" x14ac:dyDescent="0.3">
      <c r="A4" s="1" t="s">
        <v>88</v>
      </c>
      <c r="B4" s="1">
        <v>8.5579999999999998</v>
      </c>
      <c r="C4" s="1">
        <v>8.8000000000000007</v>
      </c>
      <c r="D4" s="1">
        <v>6.9829999999999997</v>
      </c>
      <c r="E4" s="1">
        <v>1.085</v>
      </c>
      <c r="F4" s="1">
        <v>7.7839999999999998</v>
      </c>
      <c r="G4" s="1">
        <v>5.3789999999999996</v>
      </c>
      <c r="H4" s="1">
        <v>9.4139999999999997</v>
      </c>
      <c r="I4" s="1">
        <v>2.9380000000000002</v>
      </c>
      <c r="J4" s="1">
        <v>12.513999999999999</v>
      </c>
      <c r="K4" s="1">
        <v>8.68</v>
      </c>
      <c r="L4" s="1">
        <v>6.3079999999999998</v>
      </c>
      <c r="M4" s="1">
        <v>14.968999999999999</v>
      </c>
      <c r="N4" s="1">
        <v>11.614000000000001</v>
      </c>
      <c r="O4" s="1">
        <v>5.8920000000000003</v>
      </c>
      <c r="P4" s="1">
        <v>4.3289999999999997</v>
      </c>
      <c r="Q4" s="1">
        <v>7.2649999999999997</v>
      </c>
      <c r="R4" s="1">
        <v>9.3239999999999998</v>
      </c>
      <c r="S4" s="1">
        <v>8.0570000000000004</v>
      </c>
      <c r="T4" s="1">
        <v>10.253</v>
      </c>
      <c r="U4" s="1">
        <v>5.9329999999999998</v>
      </c>
      <c r="V4" s="1">
        <v>0.77500000000000002</v>
      </c>
      <c r="W4" s="1">
        <v>11.958</v>
      </c>
      <c r="X4" s="1">
        <v>5.1680000000000001</v>
      </c>
      <c r="Y4" s="1">
        <v>7.0010000000000003</v>
      </c>
      <c r="Z4" s="1">
        <v>6.3170000000000002</v>
      </c>
      <c r="AA4" s="1">
        <v>5.6790000000000003</v>
      </c>
      <c r="AB4" s="1">
        <v>7.2919999999999998</v>
      </c>
      <c r="AC4" s="1">
        <v>1.6339999999999999</v>
      </c>
      <c r="AD4" s="1">
        <v>7.83</v>
      </c>
      <c r="AE4" s="1">
        <v>15.347</v>
      </c>
      <c r="AF4" s="1">
        <v>16.634</v>
      </c>
      <c r="AG4" s="1">
        <v>7.7279999999999998</v>
      </c>
      <c r="AH4" s="1">
        <v>3.653</v>
      </c>
      <c r="AI4" s="1">
        <v>6.5759999999999996</v>
      </c>
      <c r="AJ4" s="1">
        <v>7.79</v>
      </c>
      <c r="AK4" s="1">
        <v>2.14</v>
      </c>
      <c r="AL4" s="1">
        <v>8.0389999999999997</v>
      </c>
      <c r="AM4" s="1">
        <v>3.129</v>
      </c>
      <c r="AN4" s="1">
        <v>9.5060000000000002</v>
      </c>
      <c r="AO4" s="1">
        <v>4.4619999999999997</v>
      </c>
      <c r="AP4" s="1">
        <v>12.340999999999999</v>
      </c>
      <c r="AQ4" s="1">
        <v>1.9239999999999999</v>
      </c>
      <c r="AR4" s="1">
        <v>7.0010000000000003</v>
      </c>
      <c r="AS4" s="1">
        <v>6.59</v>
      </c>
      <c r="AT4" s="1">
        <v>9.2680000000000007</v>
      </c>
      <c r="AU4" s="1">
        <v>8.6950000000000003</v>
      </c>
      <c r="AV4" s="1">
        <v>9.5869999999999997</v>
      </c>
      <c r="AW4" s="1">
        <v>10.282999999999999</v>
      </c>
      <c r="AX4" s="1">
        <v>4.5730000000000004</v>
      </c>
      <c r="AY4" s="1">
        <v>8.5359999999999996</v>
      </c>
      <c r="AZ4" s="1">
        <v>8.3859999999999992</v>
      </c>
      <c r="BA4" s="1">
        <v>3.1030000000000002</v>
      </c>
      <c r="BB4" s="1">
        <v>11.013999999999999</v>
      </c>
      <c r="BC4" s="1">
        <v>-0.88600000000000001</v>
      </c>
      <c r="BD4" s="1">
        <v>8.2129999999999992</v>
      </c>
      <c r="BE4" s="1">
        <v>4.7220000000000004</v>
      </c>
      <c r="BF4" s="1">
        <v>6.5019999999999998</v>
      </c>
      <c r="BG4" s="1">
        <v>4.4880000000000004</v>
      </c>
      <c r="BH4" s="1">
        <v>10.521000000000001</v>
      </c>
      <c r="BI4" s="1">
        <v>10.952999999999999</v>
      </c>
      <c r="BJ4" s="1">
        <v>4.7409999999999997</v>
      </c>
      <c r="BK4" s="1">
        <v>3.8119999999999998</v>
      </c>
      <c r="BL4" s="1">
        <v>3.05</v>
      </c>
      <c r="BM4" s="1">
        <v>7.1639999999999997</v>
      </c>
      <c r="BN4" s="1">
        <v>4.8780000000000001</v>
      </c>
      <c r="BO4" s="1">
        <v>7.32</v>
      </c>
      <c r="BP4" s="1">
        <v>1.94</v>
      </c>
    </row>
    <row r="5" spans="1:68" x14ac:dyDescent="0.3">
      <c r="A5" s="1" t="s">
        <v>89</v>
      </c>
      <c r="B5" s="1">
        <v>6.157</v>
      </c>
      <c r="C5" s="1">
        <v>1.89</v>
      </c>
      <c r="D5" s="1">
        <v>5.6920000000000002</v>
      </c>
      <c r="E5" s="1">
        <v>8.3059999999999992</v>
      </c>
      <c r="F5" s="1">
        <v>7.17</v>
      </c>
      <c r="G5" s="1">
        <v>3.6760000000000002</v>
      </c>
      <c r="H5" s="1">
        <v>2.7759999999999998</v>
      </c>
      <c r="I5" s="1">
        <v>2.153</v>
      </c>
      <c r="J5" s="1">
        <v>10.97</v>
      </c>
      <c r="K5" s="1">
        <v>6.1859999999999999</v>
      </c>
      <c r="L5" s="1">
        <v>7.6879999999999997</v>
      </c>
      <c r="M5" s="1">
        <v>5.98</v>
      </c>
      <c r="N5" s="1">
        <v>2.339</v>
      </c>
      <c r="O5" s="1">
        <v>3.117</v>
      </c>
      <c r="P5" s="1">
        <v>2.347</v>
      </c>
      <c r="Q5" s="1">
        <v>2.5249999999999999</v>
      </c>
      <c r="R5" s="1">
        <v>9.7989999999999995</v>
      </c>
      <c r="S5" s="1">
        <v>4.05</v>
      </c>
      <c r="T5" s="1">
        <v>5.4189999999999996</v>
      </c>
      <c r="U5" s="1">
        <v>8.7159999999999993</v>
      </c>
      <c r="V5" s="1">
        <v>5.1639999999999997</v>
      </c>
      <c r="W5" s="1">
        <v>2.3039999999999998</v>
      </c>
      <c r="X5" s="1">
        <v>5.657</v>
      </c>
      <c r="Y5" s="1">
        <v>3.8330000000000002</v>
      </c>
      <c r="Z5" s="1">
        <v>3.5110000000000001</v>
      </c>
      <c r="AA5" s="1">
        <v>4.18</v>
      </c>
      <c r="AB5" s="1">
        <v>5.2389999999999999</v>
      </c>
      <c r="AC5" s="1">
        <v>2.7770000000000001</v>
      </c>
      <c r="AD5" s="1">
        <v>3.7290000000000001</v>
      </c>
      <c r="AE5" s="1">
        <v>3.278</v>
      </c>
      <c r="AF5" s="1">
        <v>2.734</v>
      </c>
      <c r="AG5" s="1">
        <v>0.82099999999999995</v>
      </c>
      <c r="AH5" s="1">
        <v>5.4390000000000001</v>
      </c>
      <c r="AI5" s="1">
        <v>2.8029999999999999</v>
      </c>
      <c r="AJ5" s="1">
        <v>2.6749999999999998</v>
      </c>
      <c r="AK5" s="1">
        <v>9.1430000000000007</v>
      </c>
      <c r="AL5" s="1">
        <v>4.05</v>
      </c>
      <c r="AM5" s="1">
        <v>1.36</v>
      </c>
      <c r="AN5" s="1">
        <v>3.04</v>
      </c>
      <c r="AO5" s="1">
        <v>3.294</v>
      </c>
      <c r="AP5" s="1">
        <v>2.669</v>
      </c>
      <c r="AQ5" s="1">
        <v>13.606</v>
      </c>
      <c r="AR5" s="1">
        <v>4.29</v>
      </c>
      <c r="AS5" s="1">
        <v>4.9260000000000002</v>
      </c>
      <c r="AT5" s="1">
        <v>5.069</v>
      </c>
      <c r="AU5" s="1">
        <v>0.84799999999999998</v>
      </c>
      <c r="AV5" s="1">
        <v>1.907</v>
      </c>
      <c r="AW5" s="1">
        <v>12.528</v>
      </c>
      <c r="AX5" s="1">
        <v>13.891999999999999</v>
      </c>
      <c r="AY5" s="1">
        <v>3.286</v>
      </c>
      <c r="AZ5" s="1">
        <v>4.12</v>
      </c>
      <c r="BA5" s="1">
        <v>1.165</v>
      </c>
      <c r="BB5" s="1">
        <v>14.605</v>
      </c>
      <c r="BC5" s="1">
        <v>4.1139999999999999</v>
      </c>
      <c r="BD5" s="1">
        <v>0.752</v>
      </c>
      <c r="BE5" s="1">
        <v>4.2539999999999996</v>
      </c>
      <c r="BF5" s="1">
        <v>3.5630000000000002</v>
      </c>
      <c r="BG5" s="1">
        <v>8.2729999999999997</v>
      </c>
      <c r="BH5" s="1">
        <v>5.274</v>
      </c>
      <c r="BI5" s="1">
        <v>4.0279999999999996</v>
      </c>
      <c r="BJ5" s="1">
        <v>3.81</v>
      </c>
      <c r="BK5" s="1">
        <v>1.619</v>
      </c>
      <c r="BL5" s="1">
        <v>2.2109999999999999</v>
      </c>
      <c r="BM5" s="1">
        <v>2.4180000000000001</v>
      </c>
      <c r="BN5" s="1">
        <v>4.0750000000000002</v>
      </c>
      <c r="BO5" s="1">
        <v>1.9179999999999999</v>
      </c>
      <c r="BP5" s="1">
        <v>0.60099999999999998</v>
      </c>
    </row>
    <row r="6" spans="1:68" x14ac:dyDescent="0.3">
      <c r="A6" s="1" t="s">
        <v>90</v>
      </c>
      <c r="B6" s="1">
        <v>7.1070000000000002</v>
      </c>
      <c r="C6" s="1">
        <v>7.3849999999999998</v>
      </c>
      <c r="D6" s="1">
        <v>8.7739999999999991</v>
      </c>
      <c r="E6" s="1">
        <v>4.6429999999999998</v>
      </c>
      <c r="F6" s="1">
        <v>6.0149999999999997</v>
      </c>
      <c r="G6" s="1">
        <v>6.2770000000000001</v>
      </c>
      <c r="H6" s="1">
        <v>5.8680000000000003</v>
      </c>
      <c r="I6" s="1">
        <v>5.74</v>
      </c>
      <c r="J6" s="1">
        <v>12.13</v>
      </c>
      <c r="K6" s="1">
        <v>9.0920000000000005</v>
      </c>
      <c r="L6" s="1">
        <v>6.93</v>
      </c>
      <c r="M6" s="1">
        <v>11.097</v>
      </c>
      <c r="N6" s="1">
        <v>9.4600000000000009</v>
      </c>
      <c r="O6" s="1">
        <v>6.7510000000000003</v>
      </c>
      <c r="P6" s="1">
        <v>5.3609999999999998</v>
      </c>
      <c r="Q6" s="1">
        <v>5.9779999999999998</v>
      </c>
      <c r="R6" s="1">
        <v>9.2129999999999992</v>
      </c>
      <c r="S6" s="1">
        <v>9.4749999999999996</v>
      </c>
      <c r="T6" s="1">
        <v>9.2059999999999995</v>
      </c>
      <c r="U6" s="1">
        <v>7.7279999999999998</v>
      </c>
      <c r="V6" s="1">
        <v>18.765999999999998</v>
      </c>
      <c r="W6" s="1">
        <v>8.6140000000000008</v>
      </c>
      <c r="X6" s="1">
        <v>8.2469999999999999</v>
      </c>
      <c r="Y6" s="1">
        <v>7.0960000000000001</v>
      </c>
      <c r="Z6" s="1">
        <v>7.0410000000000004</v>
      </c>
      <c r="AA6" s="1">
        <v>6.5389999999999997</v>
      </c>
      <c r="AB6" s="1">
        <v>7.141</v>
      </c>
      <c r="AC6" s="1">
        <v>4.9119999999999999</v>
      </c>
      <c r="AD6" s="1">
        <v>6.61</v>
      </c>
      <c r="AE6" s="1">
        <v>9.8190000000000008</v>
      </c>
      <c r="AF6" s="1">
        <v>14.436</v>
      </c>
      <c r="AG6" s="1">
        <v>5.7549999999999999</v>
      </c>
      <c r="AH6" s="1">
        <v>5.9109999999999996</v>
      </c>
      <c r="AI6" s="1">
        <v>7.6559999999999997</v>
      </c>
      <c r="AJ6" s="1">
        <v>9.7260000000000009</v>
      </c>
      <c r="AK6" s="1">
        <v>7.8280000000000003</v>
      </c>
      <c r="AL6" s="1">
        <v>6.32</v>
      </c>
      <c r="AM6" s="1">
        <v>5.5049999999999999</v>
      </c>
      <c r="AN6" s="1">
        <v>7.6130000000000004</v>
      </c>
      <c r="AO6" s="1">
        <v>4.915</v>
      </c>
      <c r="AP6" s="1">
        <v>8.5570000000000004</v>
      </c>
      <c r="AQ6" s="1">
        <v>6.0209999999999999</v>
      </c>
      <c r="AR6" s="1">
        <v>7.6749999999999998</v>
      </c>
      <c r="AS6" s="1">
        <v>7.4939999999999998</v>
      </c>
      <c r="AT6" s="1">
        <v>7.5289999999999999</v>
      </c>
      <c r="AU6" s="1">
        <v>9.0980000000000008</v>
      </c>
      <c r="AV6" s="1">
        <v>6.4450000000000003</v>
      </c>
      <c r="AW6" s="1">
        <v>11.375999999999999</v>
      </c>
      <c r="AX6" s="1">
        <v>7.5209999999999999</v>
      </c>
      <c r="AY6" s="1">
        <v>6.9729999999999999</v>
      </c>
      <c r="AZ6" s="1">
        <v>6.8029999999999999</v>
      </c>
      <c r="BA6" s="1">
        <v>4.8220000000000001</v>
      </c>
      <c r="BB6" s="1">
        <v>12.709</v>
      </c>
      <c r="BC6" s="1">
        <v>5.2530000000000001</v>
      </c>
      <c r="BD6" s="1">
        <v>6.6550000000000002</v>
      </c>
      <c r="BE6" s="1">
        <v>5.907</v>
      </c>
      <c r="BF6" s="1">
        <v>7.8659999999999997</v>
      </c>
      <c r="BG6" s="1">
        <v>7.726</v>
      </c>
      <c r="BH6" s="1">
        <v>7.843</v>
      </c>
      <c r="BI6" s="1">
        <v>10.292999999999999</v>
      </c>
      <c r="BJ6" s="1">
        <v>7.55</v>
      </c>
      <c r="BK6" s="1">
        <v>7.0490000000000004</v>
      </c>
      <c r="BL6" s="1">
        <v>4.5519999999999996</v>
      </c>
      <c r="BM6" s="1">
        <v>7.0759999999999996</v>
      </c>
      <c r="BN6" s="1">
        <v>7.3140000000000001</v>
      </c>
      <c r="BO6" s="1">
        <v>7.6959999999999997</v>
      </c>
      <c r="BP6" s="1">
        <v>1.304</v>
      </c>
    </row>
    <row r="7" spans="1:68" x14ac:dyDescent="0.3">
      <c r="A7" s="1" t="s">
        <v>91</v>
      </c>
      <c r="B7" s="1">
        <v>1.7070000000000001</v>
      </c>
      <c r="C7" s="1">
        <v>4.157</v>
      </c>
      <c r="D7" s="1">
        <v>0.372</v>
      </c>
      <c r="E7" s="1">
        <v>-1.3180000000000001</v>
      </c>
      <c r="F7" s="1">
        <v>2.129</v>
      </c>
      <c r="G7" s="1">
        <v>1.522</v>
      </c>
      <c r="H7" s="1">
        <v>3.073</v>
      </c>
      <c r="I7" s="1">
        <v>2.786</v>
      </c>
      <c r="J7" s="1">
        <v>0.77600000000000002</v>
      </c>
      <c r="K7" s="1">
        <v>1.8220000000000001</v>
      </c>
      <c r="L7" s="1">
        <v>-0.153</v>
      </c>
      <c r="M7" s="1">
        <v>2.468</v>
      </c>
      <c r="N7" s="1">
        <v>5.7210000000000001</v>
      </c>
      <c r="O7" s="1">
        <v>1.151</v>
      </c>
      <c r="P7" s="1">
        <v>0.32</v>
      </c>
      <c r="Q7" s="1">
        <v>2.9609999999999999</v>
      </c>
      <c r="R7" s="1">
        <v>0.41599999999999998</v>
      </c>
      <c r="S7" s="1">
        <v>1.278</v>
      </c>
      <c r="T7" s="1">
        <v>3.7650000000000001</v>
      </c>
      <c r="U7" s="1">
        <v>1.82</v>
      </c>
      <c r="V7" s="1">
        <v>-0.46300000000000002</v>
      </c>
      <c r="W7" s="1">
        <v>4.0810000000000004</v>
      </c>
      <c r="X7" s="1">
        <v>4.431</v>
      </c>
      <c r="Y7" s="1">
        <v>2.3210000000000002</v>
      </c>
      <c r="Z7" s="1">
        <v>3.399</v>
      </c>
      <c r="AA7" s="1">
        <v>3.387</v>
      </c>
      <c r="AB7" s="1">
        <v>0.126</v>
      </c>
      <c r="AC7" s="1">
        <v>1.6659999999999999</v>
      </c>
      <c r="AD7" s="1">
        <v>1.6339999999999999</v>
      </c>
      <c r="AE7" s="1">
        <v>5.5330000000000004</v>
      </c>
      <c r="AF7" s="1">
        <v>6.3630000000000004</v>
      </c>
      <c r="AG7" s="1">
        <v>2.6890000000000001</v>
      </c>
      <c r="AH7" s="1">
        <v>1.821</v>
      </c>
      <c r="AI7" s="1">
        <v>4.2640000000000002</v>
      </c>
      <c r="AJ7" s="1">
        <v>2.6070000000000002</v>
      </c>
      <c r="AK7" s="1">
        <v>1.952</v>
      </c>
      <c r="AL7" s="1">
        <v>2.609</v>
      </c>
      <c r="AM7" s="1">
        <v>1.3160000000000001</v>
      </c>
      <c r="AN7" s="1">
        <v>2.4079999999999999</v>
      </c>
      <c r="AO7" s="1">
        <v>2.13</v>
      </c>
      <c r="AP7" s="1">
        <v>3.78</v>
      </c>
      <c r="AQ7" s="1">
        <v>-0.253</v>
      </c>
      <c r="AR7" s="1">
        <v>2.1539999999999999</v>
      </c>
      <c r="AS7" s="1">
        <v>2.359</v>
      </c>
      <c r="AT7" s="1">
        <v>2.5569999999999999</v>
      </c>
      <c r="AU7" s="1">
        <v>0.93100000000000005</v>
      </c>
      <c r="AV7" s="1">
        <v>2.36</v>
      </c>
      <c r="AW7" s="1">
        <v>3.4729999999999999</v>
      </c>
      <c r="AX7" s="1">
        <v>-3.35</v>
      </c>
      <c r="AY7" s="1">
        <v>1.365</v>
      </c>
      <c r="AZ7" s="1">
        <v>2.0649999999999999</v>
      </c>
      <c r="BA7" s="1">
        <v>1.9079999999999999</v>
      </c>
      <c r="BB7" s="1">
        <v>1.3859999999999999</v>
      </c>
      <c r="BC7" s="1">
        <v>1.6679999999999999</v>
      </c>
      <c r="BD7" s="1">
        <v>4.1139999999999999</v>
      </c>
      <c r="BE7" s="1">
        <v>0.77500000000000002</v>
      </c>
      <c r="BF7" s="1">
        <v>1.149</v>
      </c>
      <c r="BG7" s="1">
        <v>3.0739999999999998</v>
      </c>
      <c r="BH7" s="1">
        <v>2.52</v>
      </c>
      <c r="BI7" s="1">
        <v>3.08</v>
      </c>
      <c r="BJ7" s="1">
        <v>2.4009999999999998</v>
      </c>
      <c r="BK7" s="1">
        <v>3.569</v>
      </c>
      <c r="BL7" s="1">
        <v>2.4129999999999998</v>
      </c>
      <c r="BM7" s="1">
        <v>2.7050000000000001</v>
      </c>
      <c r="BN7" s="1">
        <v>2.5270000000000001</v>
      </c>
      <c r="BO7" s="1">
        <v>5.085</v>
      </c>
      <c r="BP7" s="1">
        <v>0.73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744C-4A89-4FCD-AD8C-59CD8C97AB6E}">
  <dimension ref="A1:BP7"/>
  <sheetViews>
    <sheetView workbookViewId="0">
      <selection activeCell="E18" sqref="E18"/>
    </sheetView>
  </sheetViews>
  <sheetFormatPr defaultRowHeight="14.4" x14ac:dyDescent="0.3"/>
  <cols>
    <col min="1" max="1" width="11.77734375" bestFit="1" customWidth="1"/>
  </cols>
  <sheetData>
    <row r="1" spans="1:68" x14ac:dyDescent="0.3">
      <c r="A1" s="1" t="s">
        <v>92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</row>
    <row r="2" spans="1:68" x14ac:dyDescent="0.3">
      <c r="A2" s="1" t="s">
        <v>86</v>
      </c>
      <c r="B2" s="1">
        <v>4.0389999999999997</v>
      </c>
      <c r="C2" s="1">
        <v>6.7510000000000003</v>
      </c>
      <c r="D2" s="1">
        <v>11.169</v>
      </c>
      <c r="E2" s="1">
        <v>5.4279999999999999</v>
      </c>
      <c r="F2" s="1">
        <v>9.6300000000000008</v>
      </c>
      <c r="G2" s="1">
        <v>4.4470000000000001</v>
      </c>
      <c r="H2" s="1">
        <v>4.5979999999999999</v>
      </c>
      <c r="I2" s="1">
        <v>4.1050000000000004</v>
      </c>
      <c r="J2" s="1">
        <v>12.067</v>
      </c>
      <c r="K2" s="1">
        <v>9.1999999999999993</v>
      </c>
      <c r="L2" s="1">
        <v>5.899</v>
      </c>
      <c r="M2" s="1">
        <v>5.92</v>
      </c>
      <c r="N2" s="1">
        <v>8.3650000000000002</v>
      </c>
      <c r="O2" s="1">
        <v>6.55</v>
      </c>
      <c r="P2" s="1">
        <v>4.0250000000000004</v>
      </c>
      <c r="Q2" s="1">
        <v>9.9700000000000006</v>
      </c>
      <c r="R2" s="1">
        <v>8.2029999999999994</v>
      </c>
      <c r="S2" s="1">
        <v>9.1690000000000005</v>
      </c>
      <c r="T2" s="1">
        <v>10.387</v>
      </c>
      <c r="U2" s="1">
        <v>8.298</v>
      </c>
      <c r="V2" s="1">
        <v>2.5379999999999998</v>
      </c>
      <c r="W2" s="1">
        <v>6.2809999999999997</v>
      </c>
      <c r="X2" s="1">
        <v>4.4340000000000002</v>
      </c>
      <c r="Y2" s="1">
        <v>5.5629999999999997</v>
      </c>
      <c r="Z2" s="1">
        <v>5.9870000000000001</v>
      </c>
      <c r="AA2" s="1">
        <v>4.6050000000000004</v>
      </c>
      <c r="AB2" s="1">
        <v>9.1929999999999996</v>
      </c>
      <c r="AC2" s="1">
        <v>5.4260000000000002</v>
      </c>
      <c r="AD2" s="1">
        <v>4.67</v>
      </c>
      <c r="AE2" s="1">
        <v>8.74</v>
      </c>
      <c r="AF2" s="1">
        <v>12.122999999999999</v>
      </c>
      <c r="AG2" s="1">
        <v>5.3120000000000003</v>
      </c>
      <c r="AH2" s="1">
        <v>5.5279999999999996</v>
      </c>
      <c r="AI2" s="1">
        <v>5.383</v>
      </c>
      <c r="AJ2" s="1">
        <v>11.647</v>
      </c>
      <c r="AK2" s="1">
        <v>8.0280000000000005</v>
      </c>
      <c r="AL2" s="1">
        <v>8.8019999999999996</v>
      </c>
      <c r="AM2" s="1">
        <v>4.1059999999999999</v>
      </c>
      <c r="AN2" s="1">
        <v>8.5109999999999992</v>
      </c>
      <c r="AO2" s="1">
        <v>2.9670000000000001</v>
      </c>
      <c r="AP2" s="1">
        <v>5.851</v>
      </c>
      <c r="AQ2" s="1">
        <v>6.3840000000000003</v>
      </c>
      <c r="AR2" s="1">
        <v>7.327</v>
      </c>
      <c r="AS2" s="1">
        <v>5.1550000000000002</v>
      </c>
      <c r="AT2" s="1">
        <v>5.1630000000000003</v>
      </c>
      <c r="AU2" s="1">
        <v>8.9689999999999994</v>
      </c>
      <c r="AV2" s="1">
        <v>14.308999999999999</v>
      </c>
      <c r="AW2" s="1">
        <v>10.14</v>
      </c>
      <c r="AX2" s="1">
        <v>4.5730000000000004</v>
      </c>
      <c r="AY2" s="1">
        <v>4.4720000000000004</v>
      </c>
      <c r="AZ2" s="1">
        <v>5.3949999999999996</v>
      </c>
      <c r="BA2" s="1">
        <v>5.1689999999999996</v>
      </c>
      <c r="BB2" s="1">
        <v>7.9420000000000002</v>
      </c>
      <c r="BC2" s="1">
        <v>5.1630000000000003</v>
      </c>
      <c r="BD2" s="1">
        <v>7.343</v>
      </c>
      <c r="BE2" s="1">
        <v>7.9939999999999998</v>
      </c>
      <c r="BF2" s="1">
        <v>5.431</v>
      </c>
      <c r="BG2" s="1">
        <v>9.2789999999999999</v>
      </c>
      <c r="BH2" s="1">
        <v>10.603999999999999</v>
      </c>
      <c r="BI2" s="1">
        <v>7.47</v>
      </c>
      <c r="BJ2" s="1">
        <v>7.3239999999999998</v>
      </c>
      <c r="BK2" s="1">
        <v>7.2</v>
      </c>
      <c r="BL2" s="1">
        <v>3.4769999999999999</v>
      </c>
      <c r="BM2" s="1">
        <v>4</v>
      </c>
      <c r="BN2" s="1">
        <v>7.6829999999999998</v>
      </c>
      <c r="BO2" s="1">
        <v>7.4530000000000003</v>
      </c>
      <c r="BP2" s="1">
        <v>3.4729999999999999</v>
      </c>
    </row>
    <row r="3" spans="1:68" x14ac:dyDescent="0.3">
      <c r="A3" s="1" t="s">
        <v>87</v>
      </c>
      <c r="B3" s="1">
        <v>13.782999999999999</v>
      </c>
      <c r="C3" s="1">
        <v>13.946</v>
      </c>
      <c r="D3" s="1">
        <v>10.976000000000001</v>
      </c>
      <c r="E3" s="1">
        <v>6.7270000000000003</v>
      </c>
      <c r="F3" s="1">
        <v>13.42</v>
      </c>
      <c r="G3" s="1">
        <v>9.4969999999999999</v>
      </c>
      <c r="H3" s="1">
        <v>8.8149999999999995</v>
      </c>
      <c r="I3" s="1">
        <v>6.9059999999999997</v>
      </c>
      <c r="J3" s="1">
        <v>12.707000000000001</v>
      </c>
      <c r="K3" s="1">
        <v>9.9049999999999994</v>
      </c>
      <c r="L3" s="1">
        <v>10.215999999999999</v>
      </c>
      <c r="M3" s="1">
        <v>12.259</v>
      </c>
      <c r="N3" s="1">
        <v>8.9890000000000008</v>
      </c>
      <c r="O3" s="1">
        <v>9.1</v>
      </c>
      <c r="P3" s="1">
        <v>6.117</v>
      </c>
      <c r="Q3" s="1">
        <v>6.859</v>
      </c>
      <c r="R3" s="1">
        <v>10.295</v>
      </c>
      <c r="S3" s="1">
        <v>10.304</v>
      </c>
      <c r="T3" s="1">
        <v>8.7639999999999993</v>
      </c>
      <c r="U3" s="1">
        <v>8.4920000000000009</v>
      </c>
      <c r="V3" s="1">
        <v>5.6369999999999996</v>
      </c>
      <c r="W3" s="1">
        <v>9.8800000000000008</v>
      </c>
      <c r="X3" s="1">
        <v>8.3379999999999992</v>
      </c>
      <c r="Y3" s="1">
        <v>8.52</v>
      </c>
      <c r="Z3" s="1">
        <v>7.0640000000000001</v>
      </c>
      <c r="AA3" s="1">
        <v>6.6550000000000002</v>
      </c>
      <c r="AB3" s="1">
        <v>6.95</v>
      </c>
      <c r="AC3" s="1">
        <v>8.5030000000000001</v>
      </c>
      <c r="AD3" s="1">
        <v>8.4339999999999993</v>
      </c>
      <c r="AE3" s="1">
        <v>17.466999999999999</v>
      </c>
      <c r="AF3" s="1">
        <v>13.548</v>
      </c>
      <c r="AG3" s="1">
        <v>7.3070000000000004</v>
      </c>
      <c r="AH3" s="1">
        <v>8.6349999999999998</v>
      </c>
      <c r="AI3" s="1">
        <v>7.4240000000000004</v>
      </c>
      <c r="AJ3" s="1">
        <v>8.4990000000000006</v>
      </c>
      <c r="AK3" s="1">
        <v>7.8540000000000001</v>
      </c>
      <c r="AL3" s="1">
        <v>12.233000000000001</v>
      </c>
      <c r="AM3" s="1">
        <v>8.6069999999999993</v>
      </c>
      <c r="AN3" s="1">
        <v>6.3360000000000003</v>
      </c>
      <c r="AO3" s="1">
        <v>6.1840000000000002</v>
      </c>
      <c r="AP3" s="1">
        <v>9.2249999999999996</v>
      </c>
      <c r="AQ3" s="1">
        <v>10.76</v>
      </c>
      <c r="AR3" s="1">
        <v>8.9960000000000004</v>
      </c>
      <c r="AS3" s="1">
        <v>7.702</v>
      </c>
      <c r="AT3" s="1">
        <v>9.9179999999999993</v>
      </c>
      <c r="AU3" s="1">
        <v>9.2690000000000001</v>
      </c>
      <c r="AV3" s="1">
        <v>10.621</v>
      </c>
      <c r="AW3" s="1">
        <v>12.901999999999999</v>
      </c>
      <c r="AX3" s="1">
        <v>7.157</v>
      </c>
      <c r="AY3" s="1">
        <v>8.3520000000000003</v>
      </c>
      <c r="AZ3" s="1">
        <v>8.8040000000000003</v>
      </c>
      <c r="BA3" s="1">
        <v>7.7489999999999997</v>
      </c>
      <c r="BB3" s="1">
        <v>17.696999999999999</v>
      </c>
      <c r="BC3" s="1">
        <v>8.0190000000000001</v>
      </c>
      <c r="BD3" s="1">
        <v>12.635999999999999</v>
      </c>
      <c r="BE3" s="1">
        <v>7.6840000000000002</v>
      </c>
      <c r="BF3" s="1">
        <v>13.016999999999999</v>
      </c>
      <c r="BG3" s="1">
        <v>8.2249999999999996</v>
      </c>
      <c r="BH3" s="1">
        <v>8.6449999999999996</v>
      </c>
      <c r="BI3" s="1">
        <v>12.028</v>
      </c>
      <c r="BJ3" s="1">
        <v>7.7649999999999997</v>
      </c>
      <c r="BK3" s="1">
        <v>8.6940000000000008</v>
      </c>
      <c r="BL3" s="1">
        <v>7.641</v>
      </c>
      <c r="BM3" s="1">
        <v>10.342000000000001</v>
      </c>
      <c r="BN3" s="1">
        <v>9.3450000000000006</v>
      </c>
      <c r="BO3" s="1">
        <v>9.33</v>
      </c>
      <c r="BP3" s="1">
        <v>1.6990000000000001</v>
      </c>
    </row>
    <row r="4" spans="1:68" x14ac:dyDescent="0.3">
      <c r="A4" s="1" t="s">
        <v>88</v>
      </c>
      <c r="B4" s="1">
        <v>11.699</v>
      </c>
      <c r="C4" s="1">
        <v>11.372</v>
      </c>
      <c r="D4" s="1">
        <v>10.724</v>
      </c>
      <c r="E4" s="1">
        <v>4.7130000000000001</v>
      </c>
      <c r="F4" s="1">
        <v>11.734</v>
      </c>
      <c r="G4" s="1">
        <v>7.4480000000000004</v>
      </c>
      <c r="H4" s="1">
        <v>12.096</v>
      </c>
      <c r="I4" s="1">
        <v>4.9589999999999996</v>
      </c>
      <c r="J4" s="1">
        <v>16.5</v>
      </c>
      <c r="K4" s="1">
        <v>12.356</v>
      </c>
      <c r="L4" s="1">
        <v>10.587</v>
      </c>
      <c r="M4" s="1">
        <v>19.29</v>
      </c>
      <c r="N4" s="1">
        <v>14.366</v>
      </c>
      <c r="O4" s="1">
        <v>8.1370000000000005</v>
      </c>
      <c r="P4" s="1">
        <v>6.7050000000000001</v>
      </c>
      <c r="Q4" s="1">
        <v>9.5879999999999992</v>
      </c>
      <c r="R4" s="1">
        <v>14.491</v>
      </c>
      <c r="S4" s="1">
        <v>11.929</v>
      </c>
      <c r="T4" s="1">
        <v>14.021000000000001</v>
      </c>
      <c r="U4" s="1">
        <v>10.162000000000001</v>
      </c>
      <c r="V4" s="1">
        <v>3.5249999999999999</v>
      </c>
      <c r="W4" s="1">
        <v>14.606999999999999</v>
      </c>
      <c r="X4" s="1">
        <v>9.1539999999999999</v>
      </c>
      <c r="Y4" s="1">
        <v>9.7509999999999994</v>
      </c>
      <c r="Z4" s="1">
        <v>8.6449999999999996</v>
      </c>
      <c r="AA4" s="1">
        <v>8.2050000000000001</v>
      </c>
      <c r="AB4" s="1">
        <v>10.301</v>
      </c>
      <c r="AC4" s="1">
        <v>4.4020000000000001</v>
      </c>
      <c r="AD4" s="1">
        <v>10.164</v>
      </c>
      <c r="AE4" s="1">
        <v>18.893000000000001</v>
      </c>
      <c r="AF4" s="1">
        <v>19.670000000000002</v>
      </c>
      <c r="AG4" s="1">
        <v>9.4139999999999997</v>
      </c>
      <c r="AH4" s="1">
        <v>7.4779999999999998</v>
      </c>
      <c r="AI4" s="1">
        <v>8.8930000000000007</v>
      </c>
      <c r="AJ4" s="1">
        <v>12.224</v>
      </c>
      <c r="AK4" s="1">
        <v>5.8010000000000002</v>
      </c>
      <c r="AL4" s="1">
        <v>11.59</v>
      </c>
      <c r="AM4" s="1">
        <v>4.2569999999999997</v>
      </c>
      <c r="AN4" s="1">
        <v>12.603</v>
      </c>
      <c r="AO4" s="1">
        <v>6.2249999999999996</v>
      </c>
      <c r="AP4" s="1">
        <v>15.355</v>
      </c>
      <c r="AQ4" s="1">
        <v>4.4450000000000003</v>
      </c>
      <c r="AR4" s="1">
        <v>9.9179999999999993</v>
      </c>
      <c r="AS4" s="1">
        <v>9.4009999999999998</v>
      </c>
      <c r="AT4" s="1">
        <v>12.516999999999999</v>
      </c>
      <c r="AU4" s="1">
        <v>11.882</v>
      </c>
      <c r="AV4" s="1">
        <v>12.531000000000001</v>
      </c>
      <c r="AW4" s="1">
        <v>14.606999999999999</v>
      </c>
      <c r="AX4" s="1">
        <v>8.9770000000000003</v>
      </c>
      <c r="AY4" s="1">
        <v>11.183999999999999</v>
      </c>
      <c r="AZ4" s="1">
        <v>11.365</v>
      </c>
      <c r="BA4" s="1">
        <v>4.8310000000000004</v>
      </c>
      <c r="BB4" s="1">
        <v>16.337</v>
      </c>
      <c r="BC4" s="1">
        <v>2.4289999999999998</v>
      </c>
      <c r="BD4" s="1">
        <v>10.085000000000001</v>
      </c>
      <c r="BE4" s="1">
        <v>7.4470000000000001</v>
      </c>
      <c r="BF4" s="1">
        <v>9.5139999999999993</v>
      </c>
      <c r="BG4" s="1">
        <v>8.34</v>
      </c>
      <c r="BH4" s="1">
        <v>13.923999999999999</v>
      </c>
      <c r="BI4" s="1">
        <v>13.739000000000001</v>
      </c>
      <c r="BJ4" s="1">
        <v>7.1890000000000001</v>
      </c>
      <c r="BK4" s="1">
        <v>5.5529999999999999</v>
      </c>
      <c r="BL4" s="1">
        <v>4.6449999999999996</v>
      </c>
      <c r="BM4" s="1">
        <v>9.4589999999999996</v>
      </c>
      <c r="BN4" s="1">
        <v>7.8490000000000002</v>
      </c>
      <c r="BO4" s="1">
        <v>9.7989999999999995</v>
      </c>
      <c r="BP4" s="1">
        <v>3.0659999999999998</v>
      </c>
    </row>
    <row r="5" spans="1:68" x14ac:dyDescent="0.3">
      <c r="A5" s="1" t="s">
        <v>89</v>
      </c>
      <c r="B5" s="1">
        <v>8.7940000000000005</v>
      </c>
      <c r="C5" s="1">
        <v>4.0860000000000003</v>
      </c>
      <c r="D5" s="1">
        <v>9.1199999999999992</v>
      </c>
      <c r="E5" s="1">
        <v>12.204000000000001</v>
      </c>
      <c r="F5" s="1">
        <v>10.34</v>
      </c>
      <c r="G5" s="1">
        <v>5.8410000000000002</v>
      </c>
      <c r="H5" s="1">
        <v>4.8680000000000003</v>
      </c>
      <c r="I5" s="1">
        <v>3.8919999999999999</v>
      </c>
      <c r="J5" s="1">
        <v>15.456</v>
      </c>
      <c r="K5" s="1">
        <v>9.2159999999999993</v>
      </c>
      <c r="L5" s="1">
        <v>10.802</v>
      </c>
      <c r="M5" s="1">
        <v>8.9250000000000007</v>
      </c>
      <c r="N5" s="1">
        <v>4.7699999999999996</v>
      </c>
      <c r="O5" s="1">
        <v>4.9870000000000001</v>
      </c>
      <c r="P5" s="1">
        <v>4.492</v>
      </c>
      <c r="Q5" s="1">
        <v>4.8230000000000004</v>
      </c>
      <c r="R5" s="1">
        <v>14.042999999999999</v>
      </c>
      <c r="S5" s="1">
        <v>7.3310000000000004</v>
      </c>
      <c r="T5" s="1">
        <v>8.4870000000000001</v>
      </c>
      <c r="U5" s="1">
        <v>12.281000000000001</v>
      </c>
      <c r="V5" s="1">
        <v>7.2759999999999998</v>
      </c>
      <c r="W5" s="1">
        <v>4.6879999999999997</v>
      </c>
      <c r="X5" s="1">
        <v>9.2639999999999993</v>
      </c>
      <c r="Y5" s="1">
        <v>6.2009999999999996</v>
      </c>
      <c r="Z5" s="1">
        <v>5.8550000000000004</v>
      </c>
      <c r="AA5" s="1">
        <v>6.4909999999999997</v>
      </c>
      <c r="AB5" s="1">
        <v>8.516</v>
      </c>
      <c r="AC5" s="1">
        <v>5.0659999999999998</v>
      </c>
      <c r="AD5" s="1">
        <v>5.9130000000000003</v>
      </c>
      <c r="AE5" s="1">
        <v>5.8819999999999997</v>
      </c>
      <c r="AF5" s="1">
        <v>5.9189999999999996</v>
      </c>
      <c r="AG5" s="1">
        <v>2.5649999999999999</v>
      </c>
      <c r="AH5" s="1">
        <v>8.4600000000000009</v>
      </c>
      <c r="AI5" s="1">
        <v>4.9749999999999996</v>
      </c>
      <c r="AJ5" s="1">
        <v>5.4320000000000004</v>
      </c>
      <c r="AK5" s="1">
        <v>12.693</v>
      </c>
      <c r="AL5" s="1">
        <v>6.4560000000000004</v>
      </c>
      <c r="AM5" s="1">
        <v>3.5649999999999999</v>
      </c>
      <c r="AN5" s="1">
        <v>5.4729999999999999</v>
      </c>
      <c r="AO5" s="1">
        <v>5.1449999999999996</v>
      </c>
      <c r="AP5" s="1">
        <v>5.2869999999999999</v>
      </c>
      <c r="AQ5" s="1">
        <v>18.177</v>
      </c>
      <c r="AR5" s="1">
        <v>6.68</v>
      </c>
      <c r="AS5" s="1">
        <v>7.6310000000000002</v>
      </c>
      <c r="AT5" s="1">
        <v>7.891</v>
      </c>
      <c r="AU5" s="1">
        <v>3.387</v>
      </c>
      <c r="AV5" s="1">
        <v>4.2160000000000002</v>
      </c>
      <c r="AW5" s="1">
        <v>17.722000000000001</v>
      </c>
      <c r="AX5" s="1">
        <v>18.632000000000001</v>
      </c>
      <c r="AY5" s="1">
        <v>5.4880000000000004</v>
      </c>
      <c r="AZ5" s="1">
        <v>6.391</v>
      </c>
      <c r="BA5" s="1">
        <v>2.7490000000000001</v>
      </c>
      <c r="BB5" s="1">
        <v>19.776</v>
      </c>
      <c r="BC5" s="1">
        <v>6.7839999999999998</v>
      </c>
      <c r="BD5" s="1">
        <v>2.8660000000000001</v>
      </c>
      <c r="BE5" s="1">
        <v>6.5960000000000001</v>
      </c>
      <c r="BF5" s="1">
        <v>6.0060000000000002</v>
      </c>
      <c r="BG5" s="1">
        <v>11.803000000000001</v>
      </c>
      <c r="BH5" s="1">
        <v>8.15</v>
      </c>
      <c r="BI5" s="1">
        <v>7.2750000000000004</v>
      </c>
      <c r="BJ5" s="1">
        <v>6.266</v>
      </c>
      <c r="BK5" s="1">
        <v>3.6019999999999999</v>
      </c>
      <c r="BL5" s="1">
        <v>3.984</v>
      </c>
      <c r="BM5" s="1">
        <v>4.5609999999999999</v>
      </c>
      <c r="BN5" s="1">
        <v>6.59</v>
      </c>
      <c r="BO5" s="1">
        <v>4.3470000000000004</v>
      </c>
      <c r="BP5" s="1">
        <v>1.62</v>
      </c>
    </row>
    <row r="6" spans="1:68" x14ac:dyDescent="0.3">
      <c r="A6" s="1" t="s">
        <v>90</v>
      </c>
      <c r="B6" s="1">
        <v>9.7929999999999993</v>
      </c>
      <c r="C6" s="1">
        <v>9.4149999999999991</v>
      </c>
      <c r="D6" s="1">
        <v>11.98</v>
      </c>
      <c r="E6" s="1">
        <v>7.8220000000000001</v>
      </c>
      <c r="F6" s="1">
        <v>9.35</v>
      </c>
      <c r="G6" s="1">
        <v>8.3699999999999992</v>
      </c>
      <c r="H6" s="1">
        <v>7.9640000000000004</v>
      </c>
      <c r="I6" s="1">
        <v>7.48</v>
      </c>
      <c r="J6" s="1">
        <v>16.84</v>
      </c>
      <c r="K6" s="1">
        <v>12.175000000000001</v>
      </c>
      <c r="L6" s="1">
        <v>10.096</v>
      </c>
      <c r="M6" s="1">
        <v>14.522</v>
      </c>
      <c r="N6" s="1">
        <v>11.757999999999999</v>
      </c>
      <c r="O6" s="1">
        <v>8.6579999999999995</v>
      </c>
      <c r="P6" s="1">
        <v>7.48</v>
      </c>
      <c r="Q6" s="1">
        <v>8.2129999999999992</v>
      </c>
      <c r="R6" s="1">
        <v>13.125</v>
      </c>
      <c r="S6" s="1">
        <v>12.423</v>
      </c>
      <c r="T6" s="1">
        <v>12.196</v>
      </c>
      <c r="U6" s="1">
        <v>11.14</v>
      </c>
      <c r="V6" s="1">
        <v>21.084</v>
      </c>
      <c r="W6" s="1">
        <v>10.787000000000001</v>
      </c>
      <c r="X6" s="1">
        <v>11.538</v>
      </c>
      <c r="Y6" s="1">
        <v>9.6460000000000008</v>
      </c>
      <c r="Z6" s="1">
        <v>9.3010000000000002</v>
      </c>
      <c r="AA6" s="1">
        <v>8.9079999999999995</v>
      </c>
      <c r="AB6" s="1">
        <v>10.137</v>
      </c>
      <c r="AC6" s="1">
        <v>6.9640000000000004</v>
      </c>
      <c r="AD6" s="1">
        <v>8.8339999999999996</v>
      </c>
      <c r="AE6" s="1">
        <v>12.656000000000001</v>
      </c>
      <c r="AF6" s="1">
        <v>17.135999999999999</v>
      </c>
      <c r="AG6" s="1">
        <v>7.3179999999999996</v>
      </c>
      <c r="AH6" s="1">
        <v>8.5310000000000006</v>
      </c>
      <c r="AI6" s="1">
        <v>9.8789999999999996</v>
      </c>
      <c r="AJ6" s="1">
        <v>12.595000000000001</v>
      </c>
      <c r="AK6" s="1">
        <v>11.038</v>
      </c>
      <c r="AL6" s="1">
        <v>8.7780000000000005</v>
      </c>
      <c r="AM6" s="1">
        <v>7.23</v>
      </c>
      <c r="AN6" s="1">
        <v>10.077999999999999</v>
      </c>
      <c r="AO6" s="1">
        <v>6.8049999999999997</v>
      </c>
      <c r="AP6" s="1">
        <v>10.933</v>
      </c>
      <c r="AQ6" s="1">
        <v>9.8800000000000008</v>
      </c>
      <c r="AR6" s="1">
        <v>10.038</v>
      </c>
      <c r="AS6" s="1">
        <v>10.050000000000001</v>
      </c>
      <c r="AT6" s="1">
        <v>10.164</v>
      </c>
      <c r="AU6" s="1">
        <v>11.353999999999999</v>
      </c>
      <c r="AV6" s="1">
        <v>8.7650000000000006</v>
      </c>
      <c r="AW6" s="1">
        <v>16.091000000000001</v>
      </c>
      <c r="AX6" s="1">
        <v>11.784000000000001</v>
      </c>
      <c r="AY6" s="1">
        <v>9.1609999999999996</v>
      </c>
      <c r="AZ6" s="1">
        <v>9.1869999999999994</v>
      </c>
      <c r="BA6" s="1">
        <v>6.2960000000000003</v>
      </c>
      <c r="BB6" s="1">
        <v>17.988</v>
      </c>
      <c r="BC6" s="1">
        <v>7.8380000000000001</v>
      </c>
      <c r="BD6" s="1">
        <v>8.3420000000000005</v>
      </c>
      <c r="BE6" s="1">
        <v>8.2469999999999999</v>
      </c>
      <c r="BF6" s="1">
        <v>10.337</v>
      </c>
      <c r="BG6" s="1">
        <v>10.993</v>
      </c>
      <c r="BH6" s="1">
        <v>10.731999999999999</v>
      </c>
      <c r="BI6" s="1">
        <v>13.663</v>
      </c>
      <c r="BJ6" s="1">
        <v>9.9019999999999992</v>
      </c>
      <c r="BK6" s="1">
        <v>8.859</v>
      </c>
      <c r="BL6" s="1">
        <v>6.1760000000000002</v>
      </c>
      <c r="BM6" s="1">
        <v>9.0299999999999994</v>
      </c>
      <c r="BN6" s="1">
        <v>9.81</v>
      </c>
      <c r="BO6" s="1">
        <v>9.7430000000000003</v>
      </c>
      <c r="BP6" s="1">
        <v>2.298</v>
      </c>
    </row>
    <row r="7" spans="1:68" x14ac:dyDescent="0.3">
      <c r="A7" s="1" t="s">
        <v>91</v>
      </c>
      <c r="B7" s="1">
        <v>4.4980000000000002</v>
      </c>
      <c r="C7" s="1">
        <v>6.3120000000000003</v>
      </c>
      <c r="D7" s="1">
        <v>3.6120000000000001</v>
      </c>
      <c r="E7" s="1">
        <v>1.968</v>
      </c>
      <c r="F7" s="1">
        <v>5.6390000000000002</v>
      </c>
      <c r="G7" s="1">
        <v>3.7160000000000002</v>
      </c>
      <c r="H7" s="1">
        <v>5.3079999999999998</v>
      </c>
      <c r="I7" s="1">
        <v>4.6360000000000001</v>
      </c>
      <c r="J7" s="1">
        <v>5.4359999999999999</v>
      </c>
      <c r="K7" s="1">
        <v>4.9729999999999999</v>
      </c>
      <c r="L7" s="1">
        <v>3.0859999999999999</v>
      </c>
      <c r="M7" s="1">
        <v>5.9290000000000003</v>
      </c>
      <c r="N7" s="1">
        <v>8.15</v>
      </c>
      <c r="O7" s="1">
        <v>3.1320000000000001</v>
      </c>
      <c r="P7" s="1">
        <v>2.5390000000000001</v>
      </c>
      <c r="Q7" s="1">
        <v>5.343</v>
      </c>
      <c r="R7" s="1">
        <v>4.3540000000000001</v>
      </c>
      <c r="S7" s="1">
        <v>4.266</v>
      </c>
      <c r="T7" s="1">
        <v>6.8710000000000004</v>
      </c>
      <c r="U7" s="1">
        <v>5.3550000000000004</v>
      </c>
      <c r="V7" s="1">
        <v>1.665</v>
      </c>
      <c r="W7" s="1">
        <v>6.3559999999999999</v>
      </c>
      <c r="X7" s="1">
        <v>7.9470000000000001</v>
      </c>
      <c r="Y7" s="1">
        <v>4.9870000000000001</v>
      </c>
      <c r="Z7" s="1">
        <v>5.7869999999999999</v>
      </c>
      <c r="AA7" s="1">
        <v>5.9080000000000004</v>
      </c>
      <c r="AB7" s="1">
        <v>3.1960000000000002</v>
      </c>
      <c r="AC7" s="1">
        <v>3.8410000000000002</v>
      </c>
      <c r="AD7" s="1">
        <v>3.9569999999999999</v>
      </c>
      <c r="AE7" s="1">
        <v>8.5169999999999995</v>
      </c>
      <c r="AF7" s="1">
        <v>9.1039999999999992</v>
      </c>
      <c r="AG7" s="1">
        <v>4.3579999999999997</v>
      </c>
      <c r="AH7" s="1">
        <v>4.5789999999999997</v>
      </c>
      <c r="AI7" s="1">
        <v>6.62</v>
      </c>
      <c r="AJ7" s="1">
        <v>5.5430000000000001</v>
      </c>
      <c r="AK7" s="1">
        <v>5.2729999999999997</v>
      </c>
      <c r="AL7" s="1">
        <v>5.2009999999999996</v>
      </c>
      <c r="AM7" s="1">
        <v>3.1240000000000001</v>
      </c>
      <c r="AN7" s="1">
        <v>4.9800000000000004</v>
      </c>
      <c r="AO7" s="1">
        <v>4.1520000000000001</v>
      </c>
      <c r="AP7" s="1">
        <v>6.2640000000000002</v>
      </c>
      <c r="AQ7" s="1">
        <v>3.714</v>
      </c>
      <c r="AR7" s="1">
        <v>4.6100000000000003</v>
      </c>
      <c r="AS7" s="1">
        <v>5.0209999999999999</v>
      </c>
      <c r="AT7" s="1">
        <v>5.3070000000000004</v>
      </c>
      <c r="AU7" s="1">
        <v>3.2189999999999999</v>
      </c>
      <c r="AV7" s="1">
        <v>4.798</v>
      </c>
      <c r="AW7" s="1">
        <v>8.2710000000000008</v>
      </c>
      <c r="AX7" s="1">
        <v>0.84599999999999997</v>
      </c>
      <c r="AY7" s="1">
        <v>3.6379999999999999</v>
      </c>
      <c r="AZ7" s="1">
        <v>4.5599999999999996</v>
      </c>
      <c r="BA7" s="1">
        <v>3.4769999999999999</v>
      </c>
      <c r="BB7" s="1">
        <v>6.5810000000000004</v>
      </c>
      <c r="BC7" s="1">
        <v>4.3979999999999997</v>
      </c>
      <c r="BD7" s="1">
        <v>5.915</v>
      </c>
      <c r="BE7" s="1">
        <v>3.2160000000000002</v>
      </c>
      <c r="BF7" s="1">
        <v>3.6850000000000001</v>
      </c>
      <c r="BG7" s="1">
        <v>6.492</v>
      </c>
      <c r="BH7" s="1">
        <v>5.5209999999999999</v>
      </c>
      <c r="BI7" s="1">
        <v>6.577</v>
      </c>
      <c r="BJ7" s="1">
        <v>4.8490000000000002</v>
      </c>
      <c r="BK7" s="1">
        <v>5.484</v>
      </c>
      <c r="BL7" s="1">
        <v>4.1520000000000001</v>
      </c>
      <c r="BM7" s="1">
        <v>4.7549999999999999</v>
      </c>
      <c r="BN7" s="1">
        <v>5.1369999999999996</v>
      </c>
      <c r="BO7" s="1">
        <v>7.2690000000000001</v>
      </c>
      <c r="BP7" s="1">
        <v>1.8120000000000001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6DFB-B2FB-426C-B091-9F55D3BD3339}">
  <dimension ref="A1:G67"/>
  <sheetViews>
    <sheetView tabSelected="1" workbookViewId="0">
      <selection activeCell="I18" sqref="I18"/>
    </sheetView>
  </sheetViews>
  <sheetFormatPr defaultRowHeight="14.4" x14ac:dyDescent="0.3"/>
  <cols>
    <col min="1" max="1" width="15.33203125" bestFit="1" customWidth="1"/>
    <col min="2" max="2" width="10" bestFit="1" customWidth="1"/>
    <col min="7" max="7" width="10" bestFit="1" customWidth="1"/>
  </cols>
  <sheetData>
    <row r="1" spans="1:7" x14ac:dyDescent="0.3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5" t="s">
        <v>99</v>
      </c>
    </row>
    <row r="2" spans="1:7" x14ac:dyDescent="0.3">
      <c r="A2" s="1" t="s">
        <v>21</v>
      </c>
      <c r="B2" s="1">
        <v>7124.3370000000004</v>
      </c>
      <c r="C2" s="1">
        <v>331.90699999999998</v>
      </c>
      <c r="D2" s="1">
        <v>0</v>
      </c>
      <c r="E2" s="1">
        <v>-28.664000000000001</v>
      </c>
      <c r="F2" s="1">
        <v>50.402999999999999</v>
      </c>
      <c r="G2" s="5">
        <f t="array" ref="G2">SUM(B2:F2)</f>
        <v>7477.9830000000011</v>
      </c>
    </row>
    <row r="3" spans="1:7" x14ac:dyDescent="0.3">
      <c r="A3" s="1" t="s">
        <v>76</v>
      </c>
      <c r="B3" s="1">
        <v>2056.069</v>
      </c>
      <c r="C3" s="1">
        <v>165.2</v>
      </c>
      <c r="D3" s="1">
        <v>0</v>
      </c>
      <c r="E3" s="1">
        <v>-3.3639999999999999</v>
      </c>
      <c r="F3" s="1">
        <v>0.16</v>
      </c>
      <c r="G3" s="5">
        <f t="array" ref="G3">SUM(B3:F3)</f>
        <v>2218.0649999999996</v>
      </c>
    </row>
    <row r="4" spans="1:7" x14ac:dyDescent="0.3">
      <c r="A4" s="1" t="s">
        <v>49</v>
      </c>
      <c r="B4" s="1">
        <v>1501.665</v>
      </c>
      <c r="C4" s="1">
        <v>176.10599999999999</v>
      </c>
      <c r="D4" s="1">
        <v>0</v>
      </c>
      <c r="E4" s="1">
        <v>-5.351</v>
      </c>
      <c r="F4" s="1">
        <v>4.3999999999999997E-2</v>
      </c>
      <c r="G4" s="5">
        <f t="array" ref="G4">SUM(B4:F4)</f>
        <v>1672.4639999999999</v>
      </c>
    </row>
    <row r="5" spans="1:7" x14ac:dyDescent="0.3">
      <c r="A5" s="1" t="s">
        <v>32</v>
      </c>
      <c r="B5" s="1">
        <v>1461.5940000000001</v>
      </c>
      <c r="C5" s="1">
        <v>152.904</v>
      </c>
      <c r="D5" s="1">
        <v>0</v>
      </c>
      <c r="E5" s="1">
        <v>-2.512</v>
      </c>
      <c r="F5" s="1">
        <v>4.8000000000000001E-2</v>
      </c>
      <c r="G5" s="5">
        <f t="array" ref="G5">SUM(B5:F5)</f>
        <v>1612.0340000000001</v>
      </c>
    </row>
    <row r="6" spans="1:7" x14ac:dyDescent="0.3">
      <c r="A6" s="1" t="s">
        <v>38</v>
      </c>
      <c r="B6" s="1">
        <v>1408.837</v>
      </c>
      <c r="C6" s="1">
        <v>166.916</v>
      </c>
      <c r="D6" s="1">
        <v>0</v>
      </c>
      <c r="E6" s="1">
        <v>-7.798</v>
      </c>
      <c r="F6" s="1">
        <v>6.2E-2</v>
      </c>
      <c r="G6" s="5">
        <f t="array" ref="G6">SUM(B6:F6)</f>
        <v>1568.0169999999998</v>
      </c>
    </row>
    <row r="7" spans="1:7" x14ac:dyDescent="0.3">
      <c r="A7" s="1" t="s">
        <v>71</v>
      </c>
      <c r="B7" s="1">
        <v>1370.78</v>
      </c>
      <c r="C7" s="1">
        <v>168.12200000000001</v>
      </c>
      <c r="D7" s="1">
        <v>0</v>
      </c>
      <c r="E7" s="1">
        <v>-1.762</v>
      </c>
      <c r="F7" s="1">
        <v>4.2000000000000003E-2</v>
      </c>
      <c r="G7" s="5">
        <f t="array" ref="G7">SUM(B7:F7)</f>
        <v>1537.182</v>
      </c>
    </row>
    <row r="8" spans="1:7" x14ac:dyDescent="0.3">
      <c r="A8" s="1" t="s">
        <v>55</v>
      </c>
      <c r="B8" s="1">
        <v>1026.7159999999999</v>
      </c>
      <c r="C8" s="1">
        <v>80.826999999999998</v>
      </c>
      <c r="D8" s="1">
        <v>0</v>
      </c>
      <c r="E8" s="1">
        <v>-0.59499999999999997</v>
      </c>
      <c r="F8" s="1">
        <v>2.5999999999999999E-2</v>
      </c>
      <c r="G8" s="5">
        <f t="array" ref="G8">SUM(B8:F8)</f>
        <v>1106.9739999999999</v>
      </c>
    </row>
    <row r="9" spans="1:7" x14ac:dyDescent="0.3">
      <c r="A9" s="1" t="s">
        <v>75</v>
      </c>
      <c r="B9" s="1">
        <v>978.08299999999997</v>
      </c>
      <c r="C9" s="1">
        <v>106.197</v>
      </c>
      <c r="D9" s="1">
        <v>0</v>
      </c>
      <c r="E9" s="1">
        <v>4.7160000000000002</v>
      </c>
      <c r="F9" s="1">
        <v>6.2E-2</v>
      </c>
      <c r="G9" s="5">
        <f t="array" ref="G9">SUM(B9:F9)</f>
        <v>1089.0579999999998</v>
      </c>
    </row>
    <row r="10" spans="1:7" x14ac:dyDescent="0.3">
      <c r="A10" s="1" t="s">
        <v>39</v>
      </c>
      <c r="B10" s="1">
        <v>883.63400000000001</v>
      </c>
      <c r="C10" s="1">
        <v>153.44200000000001</v>
      </c>
      <c r="D10" s="1">
        <v>0</v>
      </c>
      <c r="E10" s="1">
        <v>-4.2670000000000003</v>
      </c>
      <c r="F10" s="1">
        <v>4.9000000000000002E-2</v>
      </c>
      <c r="G10" s="5">
        <f t="array" ref="G10">SUM(B10:F10)</f>
        <v>1032.8579999999999</v>
      </c>
    </row>
    <row r="11" spans="1:7" x14ac:dyDescent="0.3">
      <c r="A11" s="1" t="s">
        <v>45</v>
      </c>
      <c r="B11" s="1">
        <v>929.995</v>
      </c>
      <c r="C11" s="1">
        <v>99.897999999999996</v>
      </c>
      <c r="D11" s="1">
        <v>0</v>
      </c>
      <c r="E11" s="1">
        <v>-3.4660000000000002</v>
      </c>
      <c r="F11" s="1">
        <v>7.8E-2</v>
      </c>
      <c r="G11" s="5">
        <f t="array" ref="G11">SUM(B11:F11)</f>
        <v>1026.5050000000001</v>
      </c>
    </row>
    <row r="12" spans="1:7" x14ac:dyDescent="0.3">
      <c r="A12" s="1" t="s">
        <v>78</v>
      </c>
      <c r="B12" s="1">
        <v>892.01700000000005</v>
      </c>
      <c r="C12" s="1">
        <v>121.14400000000001</v>
      </c>
      <c r="D12" s="1">
        <v>0</v>
      </c>
      <c r="E12" s="1">
        <v>-22.318000000000001</v>
      </c>
      <c r="F12" s="1">
        <v>4.3999999999999997E-2</v>
      </c>
      <c r="G12" s="5">
        <f t="array" ref="G12">SUM(B12:F12)</f>
        <v>990.88700000000006</v>
      </c>
    </row>
    <row r="13" spans="1:7" x14ac:dyDescent="0.3">
      <c r="A13" s="1" t="s">
        <v>35</v>
      </c>
      <c r="B13" s="1">
        <v>860.91399999999999</v>
      </c>
      <c r="C13" s="1">
        <v>62.273000000000003</v>
      </c>
      <c r="D13" s="1">
        <v>0</v>
      </c>
      <c r="E13" s="1">
        <v>-0.246</v>
      </c>
      <c r="F13" s="1">
        <v>1.8720000000000001</v>
      </c>
      <c r="G13" s="5">
        <f t="array" ref="G13">SUM(B13:F13)</f>
        <v>924.81299999999999</v>
      </c>
    </row>
    <row r="14" spans="1:7" x14ac:dyDescent="0.3">
      <c r="A14" s="1" t="s">
        <v>57</v>
      </c>
      <c r="B14" s="1">
        <v>749.96</v>
      </c>
      <c r="C14" s="1">
        <v>79.872</v>
      </c>
      <c r="D14" s="1">
        <v>0</v>
      </c>
      <c r="E14" s="1">
        <v>-3.7440000000000002</v>
      </c>
      <c r="F14" s="1">
        <v>2.7E-2</v>
      </c>
      <c r="G14" s="5">
        <f t="array" ref="G14">SUM(B14:F14)</f>
        <v>826.11500000000001</v>
      </c>
    </row>
    <row r="15" spans="1:7" x14ac:dyDescent="0.3">
      <c r="A15" s="1" t="s">
        <v>19</v>
      </c>
      <c r="B15" s="1">
        <v>665.47799999999995</v>
      </c>
      <c r="C15" s="1">
        <v>72.864999999999995</v>
      </c>
      <c r="D15" s="1">
        <v>0</v>
      </c>
      <c r="E15" s="1">
        <v>-3.1989999999999998</v>
      </c>
      <c r="F15" s="1">
        <v>4.1000000000000002E-2</v>
      </c>
      <c r="G15" s="5">
        <f t="array" ref="G15">SUM(B15:F15)</f>
        <v>735.18500000000006</v>
      </c>
    </row>
    <row r="16" spans="1:7" x14ac:dyDescent="0.3">
      <c r="A16" s="1" t="s">
        <v>63</v>
      </c>
      <c r="B16" s="1">
        <v>678.03800000000001</v>
      </c>
      <c r="C16" s="1">
        <v>41.442</v>
      </c>
      <c r="D16" s="1">
        <v>0</v>
      </c>
      <c r="E16" s="1">
        <v>-3.593</v>
      </c>
      <c r="F16" s="1">
        <v>4.1000000000000002E-2</v>
      </c>
      <c r="G16" s="5">
        <f t="array" ref="G16">SUM(B16:F16)</f>
        <v>715.92800000000011</v>
      </c>
    </row>
    <row r="17" spans="1:7" x14ac:dyDescent="0.3">
      <c r="A17" s="1" t="s">
        <v>58</v>
      </c>
      <c r="B17" s="1">
        <v>636.46600000000001</v>
      </c>
      <c r="C17" s="1">
        <v>65.528000000000006</v>
      </c>
      <c r="D17" s="1">
        <v>0</v>
      </c>
      <c r="E17" s="1">
        <v>-11.644</v>
      </c>
      <c r="F17" s="1">
        <v>2.1999999999999999E-2</v>
      </c>
      <c r="G17" s="5">
        <f t="array" ref="G17">SUM(B17:F17)</f>
        <v>690.37200000000007</v>
      </c>
    </row>
    <row r="18" spans="1:7" x14ac:dyDescent="0.3">
      <c r="A18" s="1" t="s">
        <v>29</v>
      </c>
      <c r="B18" s="1">
        <v>592.096</v>
      </c>
      <c r="C18" s="1">
        <v>104.563</v>
      </c>
      <c r="D18" s="1">
        <v>0</v>
      </c>
      <c r="E18" s="1">
        <v>-9.3640000000000008</v>
      </c>
      <c r="F18" s="1">
        <v>3.5999999999999997E-2</v>
      </c>
      <c r="G18" s="5">
        <f t="array" ref="G18">SUM(B18:F18)</f>
        <v>687.3309999999999</v>
      </c>
    </row>
    <row r="19" spans="1:7" x14ac:dyDescent="0.3">
      <c r="A19" s="1" t="s">
        <v>65</v>
      </c>
      <c r="B19" s="1">
        <v>641.53399999999999</v>
      </c>
      <c r="C19" s="1">
        <v>23.4</v>
      </c>
      <c r="D19" s="1">
        <v>0</v>
      </c>
      <c r="E19" s="1">
        <v>2.6030000000000002</v>
      </c>
      <c r="F19" s="1">
        <v>6.5000000000000002E-2</v>
      </c>
      <c r="G19" s="5">
        <f t="array" ref="G19">SUM(B19:F19)</f>
        <v>667.60199999999998</v>
      </c>
    </row>
    <row r="20" spans="1:7" x14ac:dyDescent="0.3">
      <c r="A20" s="1" t="s">
        <v>70</v>
      </c>
      <c r="B20" s="1">
        <v>608.274</v>
      </c>
      <c r="C20" s="1">
        <v>64.611999999999995</v>
      </c>
      <c r="D20" s="1">
        <v>0</v>
      </c>
      <c r="E20" s="1">
        <v>-12.238</v>
      </c>
      <c r="F20" s="1">
        <v>2.7E-2</v>
      </c>
      <c r="G20" s="5">
        <f t="array" ref="G20">SUM(B20:F20)</f>
        <v>660.67499999999995</v>
      </c>
    </row>
    <row r="21" spans="1:7" x14ac:dyDescent="0.3">
      <c r="A21" s="1" t="s">
        <v>74</v>
      </c>
      <c r="B21" s="1">
        <v>602.07500000000005</v>
      </c>
      <c r="C21" s="1">
        <v>54.466000000000001</v>
      </c>
      <c r="D21" s="1">
        <v>0</v>
      </c>
      <c r="E21" s="1">
        <v>-1.96</v>
      </c>
      <c r="F21" s="1">
        <v>2.1000000000000001E-2</v>
      </c>
      <c r="G21" s="5">
        <f t="array" ref="G21">SUM(B21:F21)</f>
        <v>654.60199999999998</v>
      </c>
    </row>
    <row r="22" spans="1:7" x14ac:dyDescent="0.3">
      <c r="A22" s="1" t="s">
        <v>61</v>
      </c>
      <c r="B22" s="1">
        <v>544.63</v>
      </c>
      <c r="C22" s="1">
        <v>66.736000000000004</v>
      </c>
      <c r="D22" s="1">
        <v>0</v>
      </c>
      <c r="E22" s="1">
        <v>0.19500000000000001</v>
      </c>
      <c r="F22" s="1">
        <v>1.0999999999999999E-2</v>
      </c>
      <c r="G22" s="5">
        <f t="array" ref="G22">SUM(B22:F22)</f>
        <v>611.572</v>
      </c>
    </row>
    <row r="23" spans="1:7" x14ac:dyDescent="0.3">
      <c r="A23" s="1" t="s">
        <v>33</v>
      </c>
      <c r="B23" s="1">
        <v>545.78499999999997</v>
      </c>
      <c r="C23" s="1">
        <v>60.933</v>
      </c>
      <c r="D23" s="1">
        <v>0</v>
      </c>
      <c r="E23" s="1">
        <v>-4.1840000000000002</v>
      </c>
      <c r="F23" s="1">
        <v>1.4E-2</v>
      </c>
      <c r="G23" s="5">
        <f t="array" ref="G23">SUM(B23:F23)</f>
        <v>602.548</v>
      </c>
    </row>
    <row r="24" spans="1:7" x14ac:dyDescent="0.3">
      <c r="A24" s="1" t="s">
        <v>56</v>
      </c>
      <c r="B24" s="1">
        <v>595.45899999999995</v>
      </c>
      <c r="C24" s="1">
        <v>10.215</v>
      </c>
      <c r="D24" s="1">
        <v>0</v>
      </c>
      <c r="E24" s="1">
        <v>-7.133</v>
      </c>
      <c r="F24" s="1">
        <v>2.1000000000000001E-2</v>
      </c>
      <c r="G24" s="5">
        <f t="array" ref="G24">SUM(B24:F24)</f>
        <v>598.5619999999999</v>
      </c>
    </row>
    <row r="25" spans="1:7" x14ac:dyDescent="0.3">
      <c r="A25" s="1" t="s">
        <v>50</v>
      </c>
      <c r="B25" s="1">
        <v>549.59900000000005</v>
      </c>
      <c r="C25" s="1">
        <v>46.174999999999997</v>
      </c>
      <c r="D25" s="1">
        <v>0</v>
      </c>
      <c r="E25" s="1">
        <v>-1.8759999999999999</v>
      </c>
      <c r="F25" s="1">
        <v>1.7000000000000001E-2</v>
      </c>
      <c r="G25" s="5">
        <f t="array" ref="G25">SUM(B25:F25)</f>
        <v>593.91500000000008</v>
      </c>
    </row>
    <row r="26" spans="1:7" x14ac:dyDescent="0.3">
      <c r="A26" s="1" t="s">
        <v>23</v>
      </c>
      <c r="B26" s="1">
        <v>517.94600000000003</v>
      </c>
      <c r="C26" s="1">
        <v>55.523000000000003</v>
      </c>
      <c r="D26" s="1">
        <v>0</v>
      </c>
      <c r="E26" s="1">
        <v>-0.64600000000000002</v>
      </c>
      <c r="F26" s="1">
        <v>1.4999999999999999E-2</v>
      </c>
      <c r="G26" s="5">
        <f t="array" ref="G26">SUM(B26:F26)</f>
        <v>572.83800000000008</v>
      </c>
    </row>
    <row r="27" spans="1:7" x14ac:dyDescent="0.3">
      <c r="A27" s="1" t="s">
        <v>72</v>
      </c>
      <c r="B27" s="1">
        <v>524.84699999999998</v>
      </c>
      <c r="C27" s="1">
        <v>42.572000000000003</v>
      </c>
      <c r="D27" s="1">
        <v>0</v>
      </c>
      <c r="E27" s="1">
        <v>-0.28399999999999997</v>
      </c>
      <c r="F27" s="1">
        <v>1.2E-2</v>
      </c>
      <c r="G27" s="5">
        <f t="array" ref="G27">SUM(B27:F27)</f>
        <v>567.14699999999993</v>
      </c>
    </row>
    <row r="28" spans="1:7" x14ac:dyDescent="0.3">
      <c r="A28" s="1" t="s">
        <v>53</v>
      </c>
      <c r="B28" s="1">
        <v>491.12</v>
      </c>
      <c r="C28" s="1">
        <v>72.802999999999997</v>
      </c>
      <c r="D28" s="1">
        <v>0</v>
      </c>
      <c r="E28" s="1">
        <v>-3.9020000000000001</v>
      </c>
      <c r="F28" s="1">
        <v>4.4999999999999998E-2</v>
      </c>
      <c r="G28" s="5">
        <f t="array" ref="G28">SUM(B28:F28)</f>
        <v>560.06599999999992</v>
      </c>
    </row>
    <row r="29" spans="1:7" x14ac:dyDescent="0.3">
      <c r="A29" s="1" t="s">
        <v>73</v>
      </c>
      <c r="B29" s="1">
        <v>469.69499999999999</v>
      </c>
      <c r="C29" s="1">
        <v>83.231999999999999</v>
      </c>
      <c r="D29" s="1">
        <v>0</v>
      </c>
      <c r="E29" s="1">
        <v>4.9480000000000004</v>
      </c>
      <c r="F29" s="1">
        <v>1.6E-2</v>
      </c>
      <c r="G29" s="5">
        <f t="array" ref="G29">SUM(B29:F29)</f>
        <v>557.89099999999996</v>
      </c>
    </row>
    <row r="30" spans="1:7" x14ac:dyDescent="0.3">
      <c r="A30" s="1" t="s">
        <v>47</v>
      </c>
      <c r="B30" s="1">
        <v>474.06099999999998</v>
      </c>
      <c r="C30" s="1">
        <v>47.188000000000002</v>
      </c>
      <c r="D30" s="1">
        <v>0</v>
      </c>
      <c r="E30" s="1">
        <v>-12.722</v>
      </c>
      <c r="F30" s="1">
        <v>1.9E-2</v>
      </c>
      <c r="G30" s="5">
        <f t="array" ref="G30">SUM(B30:F30)</f>
        <v>508.54600000000005</v>
      </c>
    </row>
    <row r="31" spans="1:7" x14ac:dyDescent="0.3">
      <c r="A31" s="1" t="s">
        <v>66</v>
      </c>
      <c r="B31" s="1">
        <v>445.96300000000002</v>
      </c>
      <c r="C31" s="1">
        <v>49.960999999999999</v>
      </c>
      <c r="D31" s="1">
        <v>0</v>
      </c>
      <c r="E31" s="1">
        <v>-0.92600000000000005</v>
      </c>
      <c r="F31" s="1">
        <v>7.0000000000000001E-3</v>
      </c>
      <c r="G31" s="5">
        <f t="array" ref="G31">SUM(B31:F31)</f>
        <v>495.00500000000005</v>
      </c>
    </row>
    <row r="32" spans="1:7" x14ac:dyDescent="0.3">
      <c r="A32" s="1" t="s">
        <v>34</v>
      </c>
      <c r="B32" s="1">
        <v>533.245</v>
      </c>
      <c r="C32" s="1">
        <v>-37.999000000000002</v>
      </c>
      <c r="D32" s="1">
        <v>0</v>
      </c>
      <c r="E32" s="1">
        <v>-0.54400000000000004</v>
      </c>
      <c r="F32" s="1">
        <v>2.3E-2</v>
      </c>
      <c r="G32" s="5">
        <f t="array" ref="G32">SUM(B32:F32)</f>
        <v>494.72500000000002</v>
      </c>
    </row>
    <row r="33" spans="1:7" x14ac:dyDescent="0.3">
      <c r="A33" s="1" t="s">
        <v>30</v>
      </c>
      <c r="B33" s="1">
        <v>447.483</v>
      </c>
      <c r="C33" s="1">
        <v>36.137</v>
      </c>
      <c r="D33" s="1">
        <v>0</v>
      </c>
      <c r="E33" s="1">
        <v>-0.58699999999999997</v>
      </c>
      <c r="F33" s="1">
        <v>8.9999999999999993E-3</v>
      </c>
      <c r="G33" s="5">
        <f t="array" ref="G33">SUM(B33:F33)</f>
        <v>483.04200000000003</v>
      </c>
    </row>
    <row r="34" spans="1:7" x14ac:dyDescent="0.3">
      <c r="A34" s="1" t="s">
        <v>15</v>
      </c>
      <c r="B34" s="1">
        <v>449.51100000000002</v>
      </c>
      <c r="C34" s="1">
        <v>42.225000000000001</v>
      </c>
      <c r="D34" s="1">
        <v>0</v>
      </c>
      <c r="E34" s="1">
        <v>-14.156000000000001</v>
      </c>
      <c r="F34" s="1">
        <v>2.1999999999999999E-2</v>
      </c>
      <c r="G34" s="5">
        <f t="array" ref="G34">SUM(B34:F34)</f>
        <v>477.60200000000003</v>
      </c>
    </row>
    <row r="35" spans="1:7" x14ac:dyDescent="0.3">
      <c r="A35" s="1" t="s">
        <v>77</v>
      </c>
      <c r="B35" s="1">
        <v>432.96199999999999</v>
      </c>
      <c r="C35" s="1">
        <v>37.204000000000001</v>
      </c>
      <c r="D35" s="1">
        <v>0</v>
      </c>
      <c r="E35" s="1">
        <v>6.2E-2</v>
      </c>
      <c r="F35" s="1">
        <v>2.1000000000000001E-2</v>
      </c>
      <c r="G35" s="5">
        <f t="array" ref="G35">SUM(B35:F35)</f>
        <v>470.24900000000002</v>
      </c>
    </row>
    <row r="36" spans="1:7" x14ac:dyDescent="0.3">
      <c r="A36" s="1" t="s">
        <v>62</v>
      </c>
      <c r="B36" s="1">
        <v>415.875</v>
      </c>
      <c r="C36" s="1">
        <v>41.686</v>
      </c>
      <c r="D36" s="1">
        <v>0</v>
      </c>
      <c r="E36" s="1">
        <v>-1.2929999999999999</v>
      </c>
      <c r="F36" s="1">
        <v>8.0000000000000002E-3</v>
      </c>
      <c r="G36" s="5">
        <f t="array" ref="G36">SUM(B36:F36)</f>
        <v>456.27599999999995</v>
      </c>
    </row>
    <row r="37" spans="1:7" x14ac:dyDescent="0.3">
      <c r="A37" s="1" t="s">
        <v>54</v>
      </c>
      <c r="B37" s="1">
        <v>419.53699999999998</v>
      </c>
      <c r="C37" s="1">
        <v>31.266999999999999</v>
      </c>
      <c r="D37" s="1">
        <v>0</v>
      </c>
      <c r="E37" s="1">
        <v>0.36</v>
      </c>
      <c r="F37" s="1">
        <v>1.4E-2</v>
      </c>
      <c r="G37" s="5">
        <f t="array" ref="G37">SUM(B37:F37)</f>
        <v>451.178</v>
      </c>
    </row>
    <row r="38" spans="1:7" x14ac:dyDescent="0.3">
      <c r="A38" s="1" t="s">
        <v>43</v>
      </c>
      <c r="B38" s="1">
        <v>410.74400000000003</v>
      </c>
      <c r="C38" s="1">
        <v>29.004999999999999</v>
      </c>
      <c r="D38" s="1">
        <v>0</v>
      </c>
      <c r="E38" s="1">
        <v>-3.9E-2</v>
      </c>
      <c r="F38" s="1">
        <v>8.9999999999999993E-3</v>
      </c>
      <c r="G38" s="5">
        <f t="array" ref="G38">SUM(B38:F38)</f>
        <v>439.71900000000005</v>
      </c>
    </row>
    <row r="39" spans="1:7" x14ac:dyDescent="0.3">
      <c r="A39" s="1" t="s">
        <v>42</v>
      </c>
      <c r="B39" s="1">
        <v>377.017</v>
      </c>
      <c r="C39" s="1">
        <v>29.440999999999999</v>
      </c>
      <c r="D39" s="1">
        <v>0</v>
      </c>
      <c r="E39" s="1">
        <v>-0.97499999999999998</v>
      </c>
      <c r="F39" s="1">
        <v>1.4E-2</v>
      </c>
      <c r="G39" s="5">
        <f t="array" ref="G39">SUM(B39:F39)</f>
        <v>405.49699999999996</v>
      </c>
    </row>
    <row r="40" spans="1:7" x14ac:dyDescent="0.3">
      <c r="A40" s="1" t="s">
        <v>26</v>
      </c>
      <c r="B40" s="1">
        <v>379.51799999999997</v>
      </c>
      <c r="C40" s="1">
        <v>24.151</v>
      </c>
      <c r="D40" s="1">
        <v>0</v>
      </c>
      <c r="E40" s="1">
        <v>-5.6189999999999998</v>
      </c>
      <c r="F40" s="1">
        <v>1.2E-2</v>
      </c>
      <c r="G40" s="5">
        <f t="array" ref="G40">SUM(B40:F40)</f>
        <v>398.06199999999995</v>
      </c>
    </row>
    <row r="41" spans="1:7" x14ac:dyDescent="0.3">
      <c r="A41" s="1" t="s">
        <v>46</v>
      </c>
      <c r="B41" s="1">
        <v>358.64</v>
      </c>
      <c r="C41" s="1">
        <v>31.861999999999998</v>
      </c>
      <c r="D41" s="1">
        <v>0</v>
      </c>
      <c r="E41" s="1">
        <v>-2.3940000000000001</v>
      </c>
      <c r="F41" s="1">
        <v>1.4E-2</v>
      </c>
      <c r="G41" s="5">
        <f t="array" ref="G41">SUM(B41:F41)</f>
        <v>388.12200000000001</v>
      </c>
    </row>
    <row r="42" spans="1:7" x14ac:dyDescent="0.3">
      <c r="A42" s="1" t="s">
        <v>44</v>
      </c>
      <c r="B42" s="1">
        <v>344.20400000000001</v>
      </c>
      <c r="C42" s="1">
        <v>25.96</v>
      </c>
      <c r="D42" s="1">
        <v>0</v>
      </c>
      <c r="E42" s="1">
        <v>0.11899999999999999</v>
      </c>
      <c r="F42" s="1">
        <v>1.0999999999999999E-2</v>
      </c>
      <c r="G42" s="5">
        <f t="array" ref="G42">SUM(B42:F42)</f>
        <v>370.29400000000004</v>
      </c>
    </row>
    <row r="43" spans="1:7" x14ac:dyDescent="0.3">
      <c r="A43" s="1" t="s">
        <v>27</v>
      </c>
      <c r="B43" s="1">
        <v>368.947</v>
      </c>
      <c r="C43" s="1">
        <v>-0.64</v>
      </c>
      <c r="D43" s="1">
        <v>0</v>
      </c>
      <c r="E43" s="1">
        <v>-0.11700000000000001</v>
      </c>
      <c r="F43" s="1">
        <v>1.6E-2</v>
      </c>
      <c r="G43" s="5">
        <f t="array" ref="G43">SUM(B43:F43)</f>
        <v>368.20600000000002</v>
      </c>
    </row>
    <row r="44" spans="1:7" x14ac:dyDescent="0.3">
      <c r="A44" s="1" t="s">
        <v>69</v>
      </c>
      <c r="B44" s="1">
        <v>319.76799999999997</v>
      </c>
      <c r="C44" s="1">
        <v>35.908999999999999</v>
      </c>
      <c r="D44" s="1">
        <v>0</v>
      </c>
      <c r="E44" s="1">
        <v>-6.05</v>
      </c>
      <c r="F44" s="1">
        <v>1.4999999999999999E-2</v>
      </c>
      <c r="G44" s="5">
        <f t="array" ref="G44">SUM(B44:F44)</f>
        <v>349.64199999999994</v>
      </c>
    </row>
    <row r="45" spans="1:7" x14ac:dyDescent="0.3">
      <c r="A45" s="1" t="s">
        <v>79</v>
      </c>
      <c r="B45" s="1">
        <v>312.94600000000003</v>
      </c>
      <c r="C45" s="1">
        <v>22.745999999999999</v>
      </c>
      <c r="D45" s="1">
        <v>0</v>
      </c>
      <c r="E45" s="1">
        <v>-3.2370000000000001</v>
      </c>
      <c r="F45" s="1">
        <v>1.2E-2</v>
      </c>
      <c r="G45" s="5">
        <f t="array" ref="G45">SUM(B45:F45)</f>
        <v>332.46699999999998</v>
      </c>
    </row>
    <row r="46" spans="1:7" x14ac:dyDescent="0.3">
      <c r="A46" s="1" t="s">
        <v>67</v>
      </c>
      <c r="B46" s="1">
        <v>303.959</v>
      </c>
      <c r="C46" s="1">
        <v>30.818000000000001</v>
      </c>
      <c r="D46" s="1">
        <v>0</v>
      </c>
      <c r="E46" s="1">
        <v>-2.66</v>
      </c>
      <c r="F46" s="1">
        <v>1.2E-2</v>
      </c>
      <c r="G46" s="5">
        <f t="array" ref="G46">SUM(B46:F46)</f>
        <v>332.12899999999996</v>
      </c>
    </row>
    <row r="47" spans="1:7" x14ac:dyDescent="0.3">
      <c r="A47" s="1" t="s">
        <v>14</v>
      </c>
      <c r="B47" s="1">
        <v>312.44799999999998</v>
      </c>
      <c r="C47" s="1">
        <v>13.83</v>
      </c>
      <c r="D47" s="1">
        <v>0</v>
      </c>
      <c r="E47" s="1">
        <v>-0.48799999999999999</v>
      </c>
      <c r="F47" s="1">
        <v>6.0000000000000001E-3</v>
      </c>
      <c r="G47" s="5">
        <f t="array" ref="G47">SUM(B47:F47)</f>
        <v>325.79599999999994</v>
      </c>
    </row>
    <row r="48" spans="1:7" x14ac:dyDescent="0.3">
      <c r="A48" s="1" t="s">
        <v>22</v>
      </c>
      <c r="B48" s="1">
        <v>273.75400000000002</v>
      </c>
      <c r="C48" s="1">
        <v>32.896000000000001</v>
      </c>
      <c r="D48" s="1">
        <v>0</v>
      </c>
      <c r="E48" s="1">
        <v>1.244</v>
      </c>
      <c r="F48" s="1">
        <v>5.0000000000000001E-3</v>
      </c>
      <c r="G48" s="5">
        <f t="array" ref="G48">SUM(B48:F48)</f>
        <v>307.89900000000006</v>
      </c>
    </row>
    <row r="49" spans="1:7" x14ac:dyDescent="0.3">
      <c r="A49" s="1" t="s">
        <v>41</v>
      </c>
      <c r="B49" s="1">
        <v>279.33999999999997</v>
      </c>
      <c r="C49" s="1">
        <v>26.995000000000001</v>
      </c>
      <c r="D49" s="1">
        <v>0</v>
      </c>
      <c r="E49" s="1">
        <v>-0.59799999999999998</v>
      </c>
      <c r="F49" s="1">
        <v>1.6E-2</v>
      </c>
      <c r="G49" s="5">
        <f t="array" ref="G49">SUM(B49:F49)</f>
        <v>305.75299999999999</v>
      </c>
    </row>
    <row r="50" spans="1:7" x14ac:dyDescent="0.3">
      <c r="A50" s="1" t="s">
        <v>68</v>
      </c>
      <c r="B50" s="1">
        <v>279.18200000000002</v>
      </c>
      <c r="C50" s="1">
        <v>22.515999999999998</v>
      </c>
      <c r="D50" s="1">
        <v>0</v>
      </c>
      <c r="E50" s="1">
        <v>-0.57999999999999996</v>
      </c>
      <c r="F50" s="1">
        <v>1.6E-2</v>
      </c>
      <c r="G50" s="5">
        <f t="array" ref="G50">SUM(B50:F50)</f>
        <v>301.13400000000007</v>
      </c>
    </row>
    <row r="51" spans="1:7" x14ac:dyDescent="0.3">
      <c r="A51" s="1" t="s">
        <v>40</v>
      </c>
      <c r="B51" s="1">
        <v>264.392</v>
      </c>
      <c r="C51" s="1">
        <v>31.722000000000001</v>
      </c>
      <c r="D51" s="1">
        <v>0</v>
      </c>
      <c r="E51" s="1">
        <v>-2.8050000000000002</v>
      </c>
      <c r="F51" s="1">
        <v>8.9999999999999993E-3</v>
      </c>
      <c r="G51" s="5">
        <f t="array" ref="G51">SUM(B51:F51)</f>
        <v>293.31799999999998</v>
      </c>
    </row>
    <row r="52" spans="1:7" x14ac:dyDescent="0.3">
      <c r="A52" s="1" t="s">
        <v>64</v>
      </c>
      <c r="B52" s="1">
        <v>262.10599999999999</v>
      </c>
      <c r="C52" s="1">
        <v>24.315999999999999</v>
      </c>
      <c r="D52" s="1">
        <v>0</v>
      </c>
      <c r="E52" s="1">
        <v>-0.59399999999999997</v>
      </c>
      <c r="F52" s="1">
        <v>0.01</v>
      </c>
      <c r="G52" s="5">
        <f t="array" ref="G52">SUM(B52:F52)</f>
        <v>285.83799999999997</v>
      </c>
    </row>
    <row r="53" spans="1:7" x14ac:dyDescent="0.3">
      <c r="A53" s="1" t="s">
        <v>20</v>
      </c>
      <c r="B53" s="1">
        <v>265.45600000000002</v>
      </c>
      <c r="C53" s="1">
        <v>16.364000000000001</v>
      </c>
      <c r="D53" s="1">
        <v>0</v>
      </c>
      <c r="E53" s="1">
        <v>-0.86399999999999999</v>
      </c>
      <c r="F53" s="1">
        <v>1.4E-2</v>
      </c>
      <c r="G53" s="5">
        <f t="array" ref="G53">SUM(B53:F53)</f>
        <v>280.97000000000003</v>
      </c>
    </row>
    <row r="54" spans="1:7" x14ac:dyDescent="0.3">
      <c r="A54" s="1" t="s">
        <v>24</v>
      </c>
      <c r="B54" s="1">
        <v>249.01300000000001</v>
      </c>
      <c r="C54" s="1">
        <v>24.347999999999999</v>
      </c>
      <c r="D54" s="1">
        <v>0</v>
      </c>
      <c r="E54" s="1">
        <v>-2.1779999999999999</v>
      </c>
      <c r="F54" s="1">
        <v>7.0000000000000001E-3</v>
      </c>
      <c r="G54" s="5">
        <f t="array" ref="G54">SUM(B54:F54)</f>
        <v>271.19</v>
      </c>
    </row>
    <row r="55" spans="1:7" x14ac:dyDescent="0.3">
      <c r="A55" s="1" t="s">
        <v>25</v>
      </c>
      <c r="B55" s="1">
        <v>231.57499999999999</v>
      </c>
      <c r="C55" s="1">
        <v>26.635999999999999</v>
      </c>
      <c r="D55" s="1">
        <v>0</v>
      </c>
      <c r="E55" s="1">
        <v>-4.2850000000000001</v>
      </c>
      <c r="F55" s="1">
        <v>7.0000000000000001E-3</v>
      </c>
      <c r="G55" s="5">
        <f t="array" ref="G55">SUM(B55:F55)</f>
        <v>253.93300000000002</v>
      </c>
    </row>
    <row r="56" spans="1:7" x14ac:dyDescent="0.3">
      <c r="A56" s="1" t="s">
        <v>16</v>
      </c>
      <c r="B56" s="1">
        <v>218.88499999999999</v>
      </c>
      <c r="C56" s="1">
        <v>17.538</v>
      </c>
      <c r="D56" s="1">
        <v>0</v>
      </c>
      <c r="E56" s="1">
        <v>0.10199999999999999</v>
      </c>
      <c r="F56" s="1">
        <v>5.0000000000000001E-3</v>
      </c>
      <c r="G56" s="5">
        <f t="array" ref="G56">SUM(B56:F56)</f>
        <v>236.53</v>
      </c>
    </row>
    <row r="57" spans="1:7" x14ac:dyDescent="0.3">
      <c r="A57" s="1" t="s">
        <v>52</v>
      </c>
      <c r="B57" s="1">
        <v>214.536</v>
      </c>
      <c r="C57" s="1">
        <v>21.92</v>
      </c>
      <c r="D57" s="1">
        <v>0</v>
      </c>
      <c r="E57" s="1">
        <v>-7.0330000000000004</v>
      </c>
      <c r="F57" s="1">
        <v>8.0000000000000002E-3</v>
      </c>
      <c r="G57" s="5">
        <f t="array" ref="G57">SUM(B57:F57)</f>
        <v>229.43100000000004</v>
      </c>
    </row>
    <row r="58" spans="1:7" x14ac:dyDescent="0.3">
      <c r="A58" s="1" t="s">
        <v>18</v>
      </c>
      <c r="B58" s="1">
        <v>181.17599999999999</v>
      </c>
      <c r="C58" s="1">
        <v>14.077999999999999</v>
      </c>
      <c r="D58" s="1">
        <v>0</v>
      </c>
      <c r="E58" s="1">
        <v>-0.65600000000000003</v>
      </c>
      <c r="F58" s="1">
        <v>3.0000000000000001E-3</v>
      </c>
      <c r="G58" s="5">
        <f t="array" ref="G58">SUM(B58:F58)</f>
        <v>194.60099999999997</v>
      </c>
    </row>
    <row r="59" spans="1:7" x14ac:dyDescent="0.3">
      <c r="A59" s="1" t="s">
        <v>37</v>
      </c>
      <c r="B59" s="1">
        <v>168.15299999999999</v>
      </c>
      <c r="C59" s="1">
        <v>15.093</v>
      </c>
      <c r="D59" s="1">
        <v>0</v>
      </c>
      <c r="E59" s="1">
        <v>-0.45</v>
      </c>
      <c r="F59" s="1">
        <v>5.0000000000000001E-3</v>
      </c>
      <c r="G59" s="5">
        <f t="array" ref="G59">SUM(B59:F59)</f>
        <v>182.80099999999999</v>
      </c>
    </row>
    <row r="60" spans="1:7" x14ac:dyDescent="0.3">
      <c r="A60" s="1" t="s">
        <v>31</v>
      </c>
      <c r="B60" s="1">
        <v>149.559</v>
      </c>
      <c r="C60" s="1">
        <v>12.097</v>
      </c>
      <c r="D60" s="1">
        <v>0</v>
      </c>
      <c r="E60" s="1">
        <v>-1.097</v>
      </c>
      <c r="F60" s="1">
        <v>4.0000000000000001E-3</v>
      </c>
      <c r="G60" s="5">
        <f t="array" ref="G60">SUM(B60:F60)</f>
        <v>160.56299999999999</v>
      </c>
    </row>
    <row r="61" spans="1:7" x14ac:dyDescent="0.3">
      <c r="A61" s="1" t="s">
        <v>17</v>
      </c>
      <c r="B61" s="1">
        <v>140.893</v>
      </c>
      <c r="C61" s="1">
        <v>9.7129999999999992</v>
      </c>
      <c r="D61" s="1">
        <v>0</v>
      </c>
      <c r="E61" s="1">
        <v>0</v>
      </c>
      <c r="F61" s="1">
        <v>3.0000000000000001E-3</v>
      </c>
      <c r="G61" s="5">
        <f t="array" ref="G61">SUM(B61:F61)</f>
        <v>150.60899999999998</v>
      </c>
    </row>
    <row r="62" spans="1:7" x14ac:dyDescent="0.3">
      <c r="A62" s="1" t="s">
        <v>51</v>
      </c>
      <c r="B62" s="1">
        <v>136.82900000000001</v>
      </c>
      <c r="C62" s="1">
        <v>8.6750000000000007</v>
      </c>
      <c r="D62" s="1">
        <v>0</v>
      </c>
      <c r="E62" s="1">
        <v>0.12</v>
      </c>
      <c r="F62" s="1">
        <v>7.0000000000000001E-3</v>
      </c>
      <c r="G62" s="5">
        <f t="array" ref="G62">SUM(B62:F62)</f>
        <v>145.63100000000003</v>
      </c>
    </row>
    <row r="63" spans="1:7" x14ac:dyDescent="0.3">
      <c r="A63" s="1" t="s">
        <v>48</v>
      </c>
      <c r="B63" s="1">
        <v>127.785</v>
      </c>
      <c r="C63" s="1">
        <v>6.3570000000000002</v>
      </c>
      <c r="D63" s="1">
        <v>0</v>
      </c>
      <c r="E63" s="1">
        <v>-0.48099999999999998</v>
      </c>
      <c r="F63" s="1">
        <v>2E-3</v>
      </c>
      <c r="G63" s="5">
        <f t="array" ref="G63">SUM(B63:F63)</f>
        <v>133.66300000000001</v>
      </c>
    </row>
    <row r="64" spans="1:7" x14ac:dyDescent="0.3">
      <c r="A64" s="1" t="s">
        <v>28</v>
      </c>
      <c r="B64" s="1">
        <v>98.778000000000006</v>
      </c>
      <c r="C64" s="1">
        <v>11.260999999999999</v>
      </c>
      <c r="D64" s="1">
        <v>0</v>
      </c>
      <c r="E64" s="1">
        <v>-7.0000000000000007E-2</v>
      </c>
      <c r="F64" s="1">
        <v>5.0000000000000001E-3</v>
      </c>
      <c r="G64" s="5">
        <f t="array" ref="G64">SUM(B64:F64)</f>
        <v>109.974</v>
      </c>
    </row>
    <row r="65" spans="1:7" x14ac:dyDescent="0.3">
      <c r="A65" s="1" t="s">
        <v>60</v>
      </c>
      <c r="B65" s="1">
        <v>85.188999999999993</v>
      </c>
      <c r="C65" s="1">
        <v>6.5369999999999999</v>
      </c>
      <c r="D65" s="1">
        <v>0</v>
      </c>
      <c r="E65" s="1">
        <v>0.106</v>
      </c>
      <c r="F65" s="1">
        <v>3.0000000000000001E-3</v>
      </c>
      <c r="G65" s="5">
        <f t="array" ref="G65">SUM(B65:F65)</f>
        <v>91.834999999999994</v>
      </c>
    </row>
    <row r="66" spans="1:7" x14ac:dyDescent="0.3">
      <c r="A66" s="1" t="s">
        <v>36</v>
      </c>
      <c r="B66" s="1">
        <v>84.649000000000001</v>
      </c>
      <c r="C66" s="1">
        <v>3.0830000000000002</v>
      </c>
      <c r="D66" s="1">
        <v>0</v>
      </c>
      <c r="E66" s="1">
        <v>-0.78500000000000003</v>
      </c>
      <c r="F66" s="1">
        <v>1E-3</v>
      </c>
      <c r="G66" s="5">
        <f t="array" ref="G66">SUM(B66:F66)</f>
        <v>86.948000000000008</v>
      </c>
    </row>
    <row r="67" spans="1:7" x14ac:dyDescent="0.3">
      <c r="A67" s="1" t="s">
        <v>59</v>
      </c>
      <c r="B67" s="1">
        <v>81.647000000000006</v>
      </c>
      <c r="C67" s="1">
        <v>4.1360000000000001</v>
      </c>
      <c r="D67" s="1">
        <v>0</v>
      </c>
      <c r="E67" s="1">
        <v>-1.419</v>
      </c>
      <c r="F67" s="1">
        <v>2E-3</v>
      </c>
      <c r="G67" s="5">
        <f t="array" ref="G67">SUM(B67:F67)</f>
        <v>84.366</v>
      </c>
    </row>
  </sheetData>
  <sortState xmlns:xlrd2="http://schemas.microsoft.com/office/spreadsheetml/2017/richdata2" ref="A2:G67">
    <sortCondition descending="1" ref="G2:G67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Zone Macro</vt:lpstr>
      <vt:lpstr>Main Macros (REG)</vt:lpstr>
      <vt:lpstr>PIB por MicroReg</vt:lpstr>
      <vt:lpstr>Consumo Familias</vt:lpstr>
      <vt:lpstr>Produção Ind</vt:lpstr>
      <vt:lpstr>Invest Ind</vt:lpstr>
      <vt:lpstr>PIB (Var Monetaria)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Perobelli</dc:creator>
  <cp:lastModifiedBy>Guilherme Perobelli</cp:lastModifiedBy>
  <dcterms:created xsi:type="dcterms:W3CDTF">2026-07-24T14:59:54Z</dcterms:created>
  <dcterms:modified xsi:type="dcterms:W3CDTF">2026-07-24T15:22:25Z</dcterms:modified>
</cp:coreProperties>
</file>