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E285B609-B9CB-43A8-906B-27695D06A8CE}" xr6:coauthVersionLast="47" xr6:coauthVersionMax="47" xr10:uidLastSave="{00000000-0000-0000-0000-000000000000}"/>
  <bookViews>
    <workbookView xWindow="-108" yWindow="-108" windowWidth="23256" windowHeight="12456" firstSheet="1" activeTab="6" xr2:uid="{EC72A986-D395-4E7B-BF2E-FC9C859118DD}"/>
  </bookViews>
  <sheets>
    <sheet name="Zone Macro" sheetId="1" r:id="rId1"/>
    <sheet name="Main Macros (REG)" sheetId="6" r:id="rId2"/>
    <sheet name="PIB por MicroReg" sheetId="2" r:id="rId3"/>
    <sheet name="Consumo Familias" sheetId="4" r:id="rId4"/>
    <sheet name="Produção Ind" sheetId="5" r:id="rId5"/>
    <sheet name="Invest Ind" sheetId="7" r:id="rId6"/>
    <sheet name="PIB (Var Monetaria)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8" l="1" a="1"/>
  <c r="G41" i="8" s="1"/>
  <c r="G50" i="8" a="1"/>
  <c r="G50" i="8" s="1"/>
  <c r="G28" i="8" a="1"/>
  <c r="G28" i="8" s="1"/>
  <c r="G18" i="8" a="1"/>
  <c r="G18" i="8" s="1"/>
  <c r="G43" i="8" a="1"/>
  <c r="G43" i="8" s="1"/>
  <c r="G21" i="8" a="1"/>
  <c r="G21" i="8" s="1"/>
  <c r="G47" i="8" a="1"/>
  <c r="G47" i="8" s="1"/>
  <c r="G65" i="8" a="1"/>
  <c r="G65" i="8"/>
  <c r="G7" i="8" a="1"/>
  <c r="G7" i="8" s="1"/>
  <c r="G31" i="8" a="1"/>
  <c r="G31" i="8" s="1"/>
  <c r="G45" i="8" a="1"/>
  <c r="G45" i="8" s="1"/>
  <c r="G57" i="8" a="1"/>
  <c r="G57" i="8" s="1"/>
  <c r="G8" i="8" a="1"/>
  <c r="G8" i="8" s="1"/>
  <c r="G3" i="8" a="1"/>
  <c r="G3" i="8" s="1"/>
  <c r="G32" i="8" a="1"/>
  <c r="G32" i="8"/>
  <c r="G11" i="8" a="1"/>
  <c r="G11" i="8" s="1"/>
  <c r="G27" i="8" a="1"/>
  <c r="G27" i="8" s="1"/>
  <c r="G61" i="8" a="1"/>
  <c r="G61" i="8" s="1"/>
  <c r="G13" i="8" a="1"/>
  <c r="G13" i="8" s="1"/>
  <c r="G42" i="8" a="1"/>
  <c r="G42" i="8"/>
  <c r="G55" i="8" a="1"/>
  <c r="G55" i="8" s="1"/>
  <c r="G12" i="8" a="1"/>
  <c r="G12" i="8"/>
  <c r="G6" i="8" a="1"/>
  <c r="G6" i="8"/>
  <c r="G58" i="8" a="1"/>
  <c r="G58" i="8" s="1"/>
  <c r="G48" i="8" a="1"/>
  <c r="G48" i="8" s="1"/>
  <c r="G17" i="8" a="1"/>
  <c r="G17" i="8" s="1"/>
  <c r="G22" i="8" a="1"/>
  <c r="G22" i="8" s="1"/>
  <c r="G62" i="8" a="1"/>
  <c r="G62" i="8" s="1"/>
  <c r="G25" i="8" a="1"/>
  <c r="G25" i="8" s="1"/>
  <c r="G37" i="8" a="1"/>
  <c r="G37" i="8" s="1"/>
  <c r="G26" i="8" a="1"/>
  <c r="G26" i="8" s="1"/>
  <c r="G29" i="8" a="1"/>
  <c r="G29" i="8" s="1"/>
  <c r="G39" i="8" a="1"/>
  <c r="G39" i="8" s="1"/>
  <c r="G9" i="8" a="1"/>
  <c r="G9" i="8"/>
  <c r="G56" i="8" a="1"/>
  <c r="G56" i="8"/>
  <c r="G59" i="8" a="1"/>
  <c r="G59" i="8" s="1"/>
  <c r="G20" i="8" a="1"/>
  <c r="G20" i="8" s="1"/>
  <c r="G44" i="8" a="1"/>
  <c r="G44" i="8" s="1"/>
  <c r="G51" i="8" a="1"/>
  <c r="G51" i="8"/>
  <c r="G4" i="8" a="1"/>
  <c r="G4" i="8" s="1"/>
  <c r="G53" i="8" a="1"/>
  <c r="G53" i="8"/>
  <c r="G66" i="8" a="1"/>
  <c r="G66" i="8"/>
  <c r="G40" i="8" a="1"/>
  <c r="G40" i="8" s="1"/>
  <c r="G19" i="8" a="1"/>
  <c r="G19" i="8" s="1"/>
  <c r="G46" i="8" a="1"/>
  <c r="G46" i="8"/>
  <c r="G35" i="8" a="1"/>
  <c r="G35" i="8"/>
  <c r="G34" i="8" a="1"/>
  <c r="G34" i="8" s="1"/>
  <c r="G63" i="8" a="1"/>
  <c r="G63" i="8" s="1"/>
  <c r="G64" i="8" a="1"/>
  <c r="G64" i="8" s="1"/>
  <c r="G52" i="8" a="1"/>
  <c r="G52" i="8"/>
  <c r="G60" i="8" a="1"/>
  <c r="G60" i="8" s="1"/>
  <c r="G38" i="8" a="1"/>
  <c r="G38" i="8"/>
  <c r="G16" i="8" a="1"/>
  <c r="G16" i="8"/>
  <c r="G36" i="8" a="1"/>
  <c r="G36" i="8" s="1"/>
  <c r="G24" i="8" a="1"/>
  <c r="G24" i="8" s="1"/>
  <c r="G5" i="8" a="1"/>
  <c r="G5" i="8" s="1"/>
  <c r="G15" i="8" a="1"/>
  <c r="G15" i="8" s="1"/>
  <c r="G10" i="8" a="1"/>
  <c r="G10" i="8"/>
  <c r="G49" i="8" a="1"/>
  <c r="G49" i="8" s="1"/>
  <c r="G23" i="8" a="1"/>
  <c r="G23" i="8" s="1"/>
  <c r="G2" i="8" a="1"/>
  <c r="G2" i="8" s="1"/>
  <c r="G33" i="8" a="1"/>
  <c r="G33" i="8" s="1"/>
  <c r="G30" i="8" a="1"/>
  <c r="G30" i="8" s="1"/>
  <c r="G54" i="8" a="1"/>
  <c r="G54" i="8" s="1"/>
  <c r="G14" i="8" a="1"/>
  <c r="G14" i="8"/>
  <c r="G67" i="8" a="1"/>
  <c r="G67" i="8" s="1"/>
</calcChain>
</file>

<file path=xl/sharedStrings.xml><?xml version="1.0" encoding="utf-8"?>
<sst xmlns="http://schemas.openxmlformats.org/spreadsheetml/2006/main" count="452" uniqueCount="100">
  <si>
    <t>ZoneMacro(B)</t>
  </si>
  <si>
    <t>Consumo das Famílias</t>
  </si>
  <si>
    <t>Investimento Real</t>
  </si>
  <si>
    <t>Consumo do Governo</t>
  </si>
  <si>
    <t>Volume de Exportações</t>
  </si>
  <si>
    <t>Volume de Importação</t>
  </si>
  <si>
    <t>PIB Real</t>
  </si>
  <si>
    <t>Emprego Agregado</t>
  </si>
  <si>
    <t>Salário Real Médio</t>
  </si>
  <si>
    <t>Estoque de Capital Médio</t>
  </si>
  <si>
    <t>Deflator do PIB</t>
  </si>
  <si>
    <t>Índice de Preços</t>
  </si>
  <si>
    <t>MinasGerais %</t>
  </si>
  <si>
    <t>RestoBrasil %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</si>
  <si>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</si>
  <si>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</si>
  <si>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</si>
  <si>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</si>
  <si>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</si>
  <si>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</si>
  <si>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</si>
  <si>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</si>
  <si>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</si>
  <si>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</si>
  <si>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</si>
  <si>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</si>
  <si>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</si>
  <si>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</si>
  <si>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</si>
  <si>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</si>
  <si>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</si>
  <si>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</si>
  <si>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</si>
  <si>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</si>
  <si>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</si>
  <si>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</si>
  <si>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</si>
  <si>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</si>
  <si>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</si>
  <si>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</si>
  <si>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</si>
  <si>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</si>
  <si>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</si>
  <si>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</si>
  <si>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</si>
  <si>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</si>
  <si>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</si>
  <si>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</si>
  <si>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</si>
  <si>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</si>
  <si>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</si>
  <si>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</si>
  <si>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</si>
  <si>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</si>
  <si>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</si>
  <si>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</si>
  <si>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</si>
  <si>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</si>
  <si>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</si>
  <si>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</si>
  <si>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</si>
  <si>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</si>
  <si>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</si>
  <si>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</si>
  <si>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</si>
  <si>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</si>
  <si>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</si>
  <si>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</si>
  <si>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</si>
  <si>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</si>
  <si>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</si>
  <si>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</si>
  <si>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</si>
  <si>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</si>
  <si>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</si>
  <si>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</si>
  <si>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</si>
  <si>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</si>
  <si>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</si>
  <si>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</si>
  <si>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67 RestoBrasil</t>
  </si>
  <si>
    <t>xgdpexp (PIB)</t>
  </si>
  <si>
    <t>%</t>
  </si>
  <si>
    <t>xhoutot(B)</t>
  </si>
  <si>
    <t>MainMacro(B)</t>
  </si>
  <si>
    <t>xtot(B)</t>
  </si>
  <si>
    <t>1 Agropec</t>
  </si>
  <si>
    <t>2 Extrativa</t>
  </si>
  <si>
    <t>3 Industria</t>
  </si>
  <si>
    <t>6 Servico</t>
  </si>
  <si>
    <t>7 ComAtaVar</t>
  </si>
  <si>
    <t>8 TranspCarga</t>
  </si>
  <si>
    <t>xinvitot(B)</t>
  </si>
  <si>
    <t>delXGDPEXP(B)</t>
  </si>
  <si>
    <t>1 HOU</t>
  </si>
  <si>
    <t>2 INV</t>
  </si>
  <si>
    <t>3 GOV</t>
  </si>
  <si>
    <t>4 STOCKS</t>
  </si>
  <si>
    <t>5 EXP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</si>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</sst>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0C11-465A-4E85-A84A-AC8408652109}">
  <dimension ref="A1:C12"/>
  <sheetViews>
    <sheetView workbookViewId="0">
      <selection activeCell="F18" sqref="F18"/>
    </sheetView>
  </sheetViews>
  <sheetFormatPr defaultRowHeight="14.4" x14ac:dyDescent="0.3"/>
  <cols>
    <col min="1" max="1" width="20.77734375" bestFit="1" customWidth="1"/>
    <col min="2" max="2" width="12.6640625" bestFit="1" customWidth="1"/>
    <col min="3" max="3" width="11.5546875" bestFit="1" customWidth="1"/>
  </cols>
  <sheetData>
    <row r="1" spans="1:3" x14ac:dyDescent="0.3">
      <c r="A1" s="3" t="s">
        <v>0</v>
      </c>
      <c r="B1" s="3" t="s">
        <v>12</v>
      </c>
      <c r="C1" s="3" t="s">
        <v>13</v>
      </c>
    </row>
    <row r="2" spans="1:3" x14ac:dyDescent="0.3">
      <c r="A2" s="2" t="s">
        <v>1</v>
      </c>
      <c r="B2" s="2">
        <v>9.9589999999999996</v>
      </c>
      <c r="C2" s="2">
        <v>1.59</v>
      </c>
    </row>
    <row r="3" spans="1:3" x14ac:dyDescent="0.3">
      <c r="A3" s="2" t="s">
        <v>2</v>
      </c>
      <c r="B3" s="2">
        <v>3.855</v>
      </c>
      <c r="C3" s="2">
        <v>-0.13400000000000001</v>
      </c>
    </row>
    <row r="4" spans="1:3" x14ac:dyDescent="0.3">
      <c r="A4" s="2" t="s">
        <v>3</v>
      </c>
      <c r="B4" s="2">
        <v>0</v>
      </c>
      <c r="C4" s="2">
        <v>0</v>
      </c>
    </row>
    <row r="5" spans="1:3" x14ac:dyDescent="0.3">
      <c r="A5" s="2" t="s">
        <v>4</v>
      </c>
      <c r="B5" s="2">
        <v>3.843</v>
      </c>
      <c r="C5" s="2">
        <v>2.964</v>
      </c>
    </row>
    <row r="6" spans="1:3" x14ac:dyDescent="0.3">
      <c r="A6" s="2" t="s">
        <v>5</v>
      </c>
      <c r="B6" s="2">
        <v>1.1180000000000001</v>
      </c>
      <c r="C6" s="2">
        <v>-3.8820000000000001</v>
      </c>
    </row>
    <row r="7" spans="1:3" x14ac:dyDescent="0.3">
      <c r="A7" s="2" t="s">
        <v>6</v>
      </c>
      <c r="B7" s="2">
        <v>4.8140000000000001</v>
      </c>
      <c r="C7" s="2">
        <v>2.2509999999999999</v>
      </c>
    </row>
    <row r="8" spans="1:3" x14ac:dyDescent="0.3">
      <c r="A8" s="2" t="s">
        <v>7</v>
      </c>
      <c r="B8" s="2">
        <v>2.222</v>
      </c>
      <c r="C8" s="2">
        <v>-0.21299999999999999</v>
      </c>
    </row>
    <row r="9" spans="1:3" x14ac:dyDescent="0.3">
      <c r="A9" s="2" t="s">
        <v>8</v>
      </c>
      <c r="B9" s="2">
        <v>6.6239999999999997</v>
      </c>
      <c r="C9" s="2">
        <v>4.1040000000000001</v>
      </c>
    </row>
    <row r="10" spans="1:3" x14ac:dyDescent="0.3">
      <c r="A10" s="2" t="s">
        <v>9</v>
      </c>
      <c r="B10" s="2">
        <v>3.8540000000000001</v>
      </c>
      <c r="C10" s="2">
        <v>-0.13400000000000001</v>
      </c>
    </row>
    <row r="11" spans="1:3" x14ac:dyDescent="0.3">
      <c r="A11" s="2" t="s">
        <v>10</v>
      </c>
      <c r="B11" s="2">
        <v>-2.3620000000000001</v>
      </c>
      <c r="C11" s="2">
        <v>-3.601</v>
      </c>
    </row>
    <row r="12" spans="1:3" x14ac:dyDescent="0.3">
      <c r="A12" s="3" t="s">
        <v>11</v>
      </c>
      <c r="B12" s="3">
        <v>-3.4820000000000002</v>
      </c>
      <c r="C12" s="3">
        <v>-3.7759999999999998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EBE4-D9E7-41CE-8535-4C34F51650DA}">
  <dimension ref="A1:BP12"/>
  <sheetViews>
    <sheetView topLeftCell="A2" workbookViewId="0">
      <selection activeCell="B16" sqref="B16"/>
    </sheetView>
  </sheetViews>
  <sheetFormatPr defaultRowHeight="14.4" x14ac:dyDescent="0.3"/>
  <cols>
    <col min="1" max="1" width="20.77734375" bestFit="1" customWidth="1"/>
  </cols>
  <sheetData>
    <row r="1" spans="1:68" x14ac:dyDescent="0.3">
      <c r="A1" s="4" t="s">
        <v>84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  <c r="AU1" s="4" t="s">
        <v>59</v>
      </c>
      <c r="AV1" s="4" t="s">
        <v>60</v>
      </c>
      <c r="AW1" s="4" t="s">
        <v>61</v>
      </c>
      <c r="AX1" s="4" t="s">
        <v>62</v>
      </c>
      <c r="AY1" s="4" t="s">
        <v>63</v>
      </c>
      <c r="AZ1" s="4" t="s">
        <v>64</v>
      </c>
      <c r="BA1" s="4" t="s">
        <v>65</v>
      </c>
      <c r="BB1" s="4" t="s">
        <v>66</v>
      </c>
      <c r="BC1" s="4" t="s">
        <v>67</v>
      </c>
      <c r="BD1" s="4" t="s">
        <v>68</v>
      </c>
      <c r="BE1" s="4" t="s">
        <v>69</v>
      </c>
      <c r="BF1" s="4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 t="s">
        <v>77</v>
      </c>
      <c r="BN1" s="4" t="s">
        <v>78</v>
      </c>
      <c r="BO1" s="4" t="s">
        <v>79</v>
      </c>
      <c r="BP1" s="4" t="s">
        <v>80</v>
      </c>
    </row>
    <row r="2" spans="1:68" x14ac:dyDescent="0.3">
      <c r="A2" s="4" t="s">
        <v>1</v>
      </c>
      <c r="B2" s="4">
        <v>19.495999999999999</v>
      </c>
      <c r="C2" s="4">
        <v>10.817</v>
      </c>
      <c r="D2" s="4">
        <v>14.862</v>
      </c>
      <c r="E2" s="4">
        <v>12.331</v>
      </c>
      <c r="F2" s="4">
        <v>15.946999999999999</v>
      </c>
      <c r="G2" s="4">
        <v>9.3239999999999998</v>
      </c>
      <c r="H2" s="4">
        <v>8.6189999999999998</v>
      </c>
      <c r="I2" s="4">
        <v>5.5229999999999997</v>
      </c>
      <c r="J2" s="4">
        <v>20.687999999999999</v>
      </c>
      <c r="K2" s="4">
        <v>17.359000000000002</v>
      </c>
      <c r="L2" s="4">
        <v>15.148</v>
      </c>
      <c r="M2" s="4">
        <v>15.930999999999999</v>
      </c>
      <c r="N2" s="4">
        <v>14.689</v>
      </c>
      <c r="O2" s="4">
        <v>11.135</v>
      </c>
      <c r="P2" s="4">
        <v>6.6980000000000004</v>
      </c>
      <c r="Q2" s="4">
        <v>8.6509999999999998</v>
      </c>
      <c r="R2" s="4">
        <v>21.754999999999999</v>
      </c>
      <c r="S2" s="4">
        <v>10.584</v>
      </c>
      <c r="T2" s="4">
        <v>16.477</v>
      </c>
      <c r="U2" s="4">
        <v>18.103999999999999</v>
      </c>
      <c r="V2" s="4">
        <v>12.757</v>
      </c>
      <c r="W2" s="4">
        <v>13.948</v>
      </c>
      <c r="X2" s="4">
        <v>10.169</v>
      </c>
      <c r="Y2" s="4">
        <v>11.38</v>
      </c>
      <c r="Z2" s="4">
        <v>11.974</v>
      </c>
      <c r="AA2" s="4">
        <v>10.381</v>
      </c>
      <c r="AB2" s="4">
        <v>12.930999999999999</v>
      </c>
      <c r="AC2" s="4">
        <v>7.907</v>
      </c>
      <c r="AD2" s="4">
        <v>12.882999999999999</v>
      </c>
      <c r="AE2" s="4">
        <v>20.065000000000001</v>
      </c>
      <c r="AF2" s="4">
        <v>13.422000000000001</v>
      </c>
      <c r="AG2" s="4">
        <v>5.9290000000000003</v>
      </c>
      <c r="AH2" s="4">
        <v>11.596</v>
      </c>
      <c r="AI2" s="4">
        <v>13.618</v>
      </c>
      <c r="AJ2" s="4">
        <v>12.526999999999999</v>
      </c>
      <c r="AK2" s="4">
        <v>17.824999999999999</v>
      </c>
      <c r="AL2" s="4">
        <v>16.706</v>
      </c>
      <c r="AM2" s="4">
        <v>6.2190000000000003</v>
      </c>
      <c r="AN2" s="4">
        <v>11.569000000000001</v>
      </c>
      <c r="AO2" s="4">
        <v>6.2830000000000004</v>
      </c>
      <c r="AP2" s="4">
        <v>13.27</v>
      </c>
      <c r="AQ2" s="4">
        <v>24.018000000000001</v>
      </c>
      <c r="AR2" s="4">
        <v>15.154</v>
      </c>
      <c r="AS2" s="4">
        <v>14.987</v>
      </c>
      <c r="AT2" s="4">
        <v>15.789</v>
      </c>
      <c r="AU2" s="4">
        <v>7.96</v>
      </c>
      <c r="AV2" s="4">
        <v>7.3819999999999997</v>
      </c>
      <c r="AW2" s="4">
        <v>23.808</v>
      </c>
      <c r="AX2" s="4">
        <v>22.641999999999999</v>
      </c>
      <c r="AY2" s="4">
        <v>9.3889999999999993</v>
      </c>
      <c r="AZ2" s="4">
        <v>11.846</v>
      </c>
      <c r="BA2" s="4">
        <v>5.0019999999999998</v>
      </c>
      <c r="BB2" s="4">
        <v>27.911000000000001</v>
      </c>
      <c r="BC2" s="4">
        <v>11.45</v>
      </c>
      <c r="BD2" s="4">
        <v>7.2140000000000004</v>
      </c>
      <c r="BE2" s="4">
        <v>10.711</v>
      </c>
      <c r="BF2" s="4">
        <v>12.938000000000001</v>
      </c>
      <c r="BG2" s="4">
        <v>16.872</v>
      </c>
      <c r="BH2" s="4">
        <v>19.638999999999999</v>
      </c>
      <c r="BI2" s="4">
        <v>15.65</v>
      </c>
      <c r="BJ2" s="4">
        <v>14.224</v>
      </c>
      <c r="BK2" s="4">
        <v>8.2330000000000005</v>
      </c>
      <c r="BL2" s="4">
        <v>7.21</v>
      </c>
      <c r="BM2" s="4">
        <v>11.938000000000001</v>
      </c>
      <c r="BN2" s="4">
        <v>11.763</v>
      </c>
      <c r="BO2" s="4">
        <v>10.641999999999999</v>
      </c>
      <c r="BP2" s="4">
        <v>1.59</v>
      </c>
    </row>
    <row r="3" spans="1:68" x14ac:dyDescent="0.3">
      <c r="A3" s="4" t="s">
        <v>2</v>
      </c>
      <c r="B3" s="4">
        <v>5.3</v>
      </c>
      <c r="C3" s="4">
        <v>5.3860000000000001</v>
      </c>
      <c r="D3" s="4">
        <v>9.5359999999999996</v>
      </c>
      <c r="E3" s="4">
        <v>8.5660000000000007</v>
      </c>
      <c r="F3" s="4">
        <v>9.7810000000000006</v>
      </c>
      <c r="G3" s="4">
        <v>3.9950000000000001</v>
      </c>
      <c r="H3" s="4">
        <v>2.58</v>
      </c>
      <c r="I3" s="4">
        <v>0.872</v>
      </c>
      <c r="J3" s="4">
        <v>14.762</v>
      </c>
      <c r="K3" s="4">
        <v>9.2270000000000003</v>
      </c>
      <c r="L3" s="4">
        <v>8.7230000000000008</v>
      </c>
      <c r="M3" s="4">
        <v>8.6649999999999991</v>
      </c>
      <c r="N3" s="4">
        <v>5.4930000000000003</v>
      </c>
      <c r="O3" s="4">
        <v>-0.192</v>
      </c>
      <c r="P3" s="4">
        <v>4.9649999999999999</v>
      </c>
      <c r="Q3" s="4">
        <v>6.1390000000000002</v>
      </c>
      <c r="R3" s="4">
        <v>10.015000000000001</v>
      </c>
      <c r="S3" s="4">
        <v>7.9660000000000002</v>
      </c>
      <c r="T3" s="4">
        <v>8.0329999999999995</v>
      </c>
      <c r="U3" s="4">
        <v>10.893000000000001</v>
      </c>
      <c r="V3" s="4">
        <v>-5.2110000000000003</v>
      </c>
      <c r="W3" s="4">
        <v>5.9059999999999997</v>
      </c>
      <c r="X3" s="4">
        <v>7.569</v>
      </c>
      <c r="Y3" s="4">
        <v>6.42</v>
      </c>
      <c r="Z3" s="4">
        <v>5.9290000000000003</v>
      </c>
      <c r="AA3" s="4">
        <v>6.7160000000000002</v>
      </c>
      <c r="AB3" s="4">
        <v>8.2889999999999997</v>
      </c>
      <c r="AC3" s="4">
        <v>4.8719999999999999</v>
      </c>
      <c r="AD3" s="4">
        <v>4.7080000000000002</v>
      </c>
      <c r="AE3" s="4">
        <v>7.1269999999999998</v>
      </c>
      <c r="AF3" s="4">
        <v>8.6739999999999995</v>
      </c>
      <c r="AG3" s="4">
        <v>3.2919999999999998</v>
      </c>
      <c r="AH3" s="4">
        <v>6.7279999999999998</v>
      </c>
      <c r="AI3" s="4">
        <v>5.7560000000000002</v>
      </c>
      <c r="AJ3" s="4">
        <v>6.99</v>
      </c>
      <c r="AK3" s="4">
        <v>10.741</v>
      </c>
      <c r="AL3" s="4">
        <v>6.6710000000000003</v>
      </c>
      <c r="AM3" s="4">
        <v>3.992</v>
      </c>
      <c r="AN3" s="4">
        <v>6.4859999999999998</v>
      </c>
      <c r="AO3" s="4">
        <v>2.883</v>
      </c>
      <c r="AP3" s="4">
        <v>6.4790000000000001</v>
      </c>
      <c r="AQ3" s="4">
        <v>7.085</v>
      </c>
      <c r="AR3" s="4">
        <v>1.087</v>
      </c>
      <c r="AS3" s="4">
        <v>7.3029999999999999</v>
      </c>
      <c r="AT3" s="4">
        <v>7.3220000000000001</v>
      </c>
      <c r="AU3" s="4">
        <v>5.5049999999999999</v>
      </c>
      <c r="AV3" s="4">
        <v>5.3540000000000001</v>
      </c>
      <c r="AW3" s="4">
        <v>15.301</v>
      </c>
      <c r="AX3" s="4">
        <v>12.191000000000001</v>
      </c>
      <c r="AY3" s="4">
        <v>2.448</v>
      </c>
      <c r="AZ3" s="4">
        <v>5.85</v>
      </c>
      <c r="BA3" s="4">
        <v>0.74</v>
      </c>
      <c r="BB3" s="4">
        <v>17.001000000000001</v>
      </c>
      <c r="BC3" s="4">
        <v>6.5910000000000002</v>
      </c>
      <c r="BD3" s="4">
        <v>4.665</v>
      </c>
      <c r="BE3" s="4">
        <v>5.88</v>
      </c>
      <c r="BF3" s="4">
        <v>6.0510000000000002</v>
      </c>
      <c r="BG3" s="4">
        <v>10.379</v>
      </c>
      <c r="BH3" s="4">
        <v>8.4250000000000007</v>
      </c>
      <c r="BI3" s="4">
        <v>10.6</v>
      </c>
      <c r="BJ3" s="4">
        <v>6.6210000000000004</v>
      </c>
      <c r="BK3" s="4">
        <v>4.3529999999999998</v>
      </c>
      <c r="BL3" s="4">
        <v>2.4950000000000001</v>
      </c>
      <c r="BM3" s="4">
        <v>4.5330000000000004</v>
      </c>
      <c r="BN3" s="4">
        <v>6.9390000000000001</v>
      </c>
      <c r="BO3" s="4">
        <v>5.6859999999999999</v>
      </c>
      <c r="BP3" s="4">
        <v>-0.13400000000000001</v>
      </c>
    </row>
    <row r="4" spans="1:68" x14ac:dyDescent="0.3">
      <c r="A4" s="4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</row>
    <row r="5" spans="1:68" x14ac:dyDescent="0.3">
      <c r="A5" s="4" t="s">
        <v>4</v>
      </c>
      <c r="B5" s="4">
        <v>3.1030000000000002</v>
      </c>
      <c r="C5" s="4">
        <v>3.234</v>
      </c>
      <c r="D5" s="4">
        <v>3.1150000000000002</v>
      </c>
      <c r="E5" s="4">
        <v>2.9129999999999998</v>
      </c>
      <c r="F5" s="4">
        <v>3.17</v>
      </c>
      <c r="G5" s="4">
        <v>3.008</v>
      </c>
      <c r="H5" s="4">
        <v>2.9860000000000002</v>
      </c>
      <c r="I5" s="4">
        <v>3.9470000000000001</v>
      </c>
      <c r="J5" s="4">
        <v>3.3420000000000001</v>
      </c>
      <c r="K5" s="4">
        <v>3.1320000000000001</v>
      </c>
      <c r="L5" s="4">
        <v>3.0529999999999999</v>
      </c>
      <c r="M5" s="4">
        <v>3.3109999999999999</v>
      </c>
      <c r="N5" s="4">
        <v>3.1760000000000002</v>
      </c>
      <c r="O5" s="4">
        <v>3.028</v>
      </c>
      <c r="P5" s="4">
        <v>3.0139999999999998</v>
      </c>
      <c r="Q5" s="4">
        <v>3.0779999999999998</v>
      </c>
      <c r="R5" s="4">
        <v>3.0369999999999999</v>
      </c>
      <c r="S5" s="4">
        <v>3.1949999999999998</v>
      </c>
      <c r="T5" s="4">
        <v>3.0779999999999998</v>
      </c>
      <c r="U5" s="4">
        <v>3.0209999999999999</v>
      </c>
      <c r="V5" s="4">
        <v>3.07</v>
      </c>
      <c r="W5" s="4">
        <v>2.5089999999999999</v>
      </c>
      <c r="X5" s="4">
        <v>3.0569999999999999</v>
      </c>
      <c r="Y5" s="4">
        <v>3.0379999999999998</v>
      </c>
      <c r="Z5" s="4">
        <v>2.9780000000000002</v>
      </c>
      <c r="AA5" s="4">
        <v>3.0259999999999998</v>
      </c>
      <c r="AB5" s="4">
        <v>3.101</v>
      </c>
      <c r="AC5" s="4">
        <v>3.11</v>
      </c>
      <c r="AD5" s="4">
        <v>2.9359999999999999</v>
      </c>
      <c r="AE5" s="4">
        <v>2.9820000000000002</v>
      </c>
      <c r="AF5" s="4">
        <v>3.5390000000000001</v>
      </c>
      <c r="AG5" s="4">
        <v>2.9780000000000002</v>
      </c>
      <c r="AH5" s="4">
        <v>3.0470000000000002</v>
      </c>
      <c r="AI5" s="4">
        <v>3.036</v>
      </c>
      <c r="AJ5" s="4">
        <v>3.198</v>
      </c>
      <c r="AK5" s="4">
        <v>3.1110000000000002</v>
      </c>
      <c r="AL5" s="4">
        <v>3.073</v>
      </c>
      <c r="AM5" s="4">
        <v>2.9239999999999999</v>
      </c>
      <c r="AN5" s="4">
        <v>3.11</v>
      </c>
      <c r="AO5" s="4">
        <v>3.0289999999999999</v>
      </c>
      <c r="AP5" s="4">
        <v>3.0950000000000002</v>
      </c>
      <c r="AQ5" s="4">
        <v>2.956</v>
      </c>
      <c r="AR5" s="4">
        <v>3.149</v>
      </c>
      <c r="AS5" s="4">
        <v>2.9750000000000001</v>
      </c>
      <c r="AT5" s="4">
        <v>3.0219999999999998</v>
      </c>
      <c r="AU5" s="4">
        <v>3.1549999999999998</v>
      </c>
      <c r="AV5" s="4">
        <v>3.2330000000000001</v>
      </c>
      <c r="AW5" s="4">
        <v>3.2269999999999999</v>
      </c>
      <c r="AX5" s="4">
        <v>2.99</v>
      </c>
      <c r="AY5" s="4">
        <v>3.2080000000000002</v>
      </c>
      <c r="AZ5" s="4">
        <v>3.052</v>
      </c>
      <c r="BA5" s="4">
        <v>3.0840000000000001</v>
      </c>
      <c r="BB5" s="4">
        <v>3.2290000000000001</v>
      </c>
      <c r="BC5" s="4">
        <v>3.1030000000000002</v>
      </c>
      <c r="BD5" s="4">
        <v>3.105</v>
      </c>
      <c r="BE5" s="4">
        <v>3.0569999999999999</v>
      </c>
      <c r="BF5" s="4">
        <v>3.1930000000000001</v>
      </c>
      <c r="BG5" s="4">
        <v>3.0169999999999999</v>
      </c>
      <c r="BH5" s="4">
        <v>3.073</v>
      </c>
      <c r="BI5" s="4">
        <v>3.2130000000000001</v>
      </c>
      <c r="BJ5" s="4">
        <v>3.0129999999999999</v>
      </c>
      <c r="BK5" s="4">
        <v>3.0209999999999999</v>
      </c>
      <c r="BL5" s="4">
        <v>3.0259999999999998</v>
      </c>
      <c r="BM5" s="4">
        <v>3.1080000000000001</v>
      </c>
      <c r="BN5" s="4">
        <v>3.1320000000000001</v>
      </c>
      <c r="BO5" s="4">
        <v>3.0870000000000002</v>
      </c>
      <c r="BP5" s="4">
        <v>2.964</v>
      </c>
    </row>
    <row r="6" spans="1:68" x14ac:dyDescent="0.3">
      <c r="A6" s="4" t="s">
        <v>5</v>
      </c>
      <c r="B6" s="4">
        <v>3.6549999999999998</v>
      </c>
      <c r="C6" s="4">
        <v>3.8730000000000002</v>
      </c>
      <c r="D6" s="4">
        <v>6.6050000000000004</v>
      </c>
      <c r="E6" s="4">
        <v>4.5010000000000003</v>
      </c>
      <c r="F6" s="4">
        <v>6.6669999999999998</v>
      </c>
      <c r="G6" s="4">
        <v>1.0349999999999999</v>
      </c>
      <c r="H6" s="4">
        <v>-0.17299999999999999</v>
      </c>
      <c r="I6" s="4">
        <v>-1.8520000000000001</v>
      </c>
      <c r="J6" s="4">
        <v>9.2929999999999993</v>
      </c>
      <c r="K6" s="4">
        <v>6.9539999999999997</v>
      </c>
      <c r="L6" s="4">
        <v>5.1689999999999996</v>
      </c>
      <c r="M6" s="4">
        <v>6.431</v>
      </c>
      <c r="N6" s="4">
        <v>4.6920000000000002</v>
      </c>
      <c r="O6" s="4">
        <v>-2.66</v>
      </c>
      <c r="P6" s="4">
        <v>1.371</v>
      </c>
      <c r="Q6" s="4">
        <v>3.0760000000000001</v>
      </c>
      <c r="R6" s="4">
        <v>6.9509999999999996</v>
      </c>
      <c r="S6" s="4">
        <v>4.907</v>
      </c>
      <c r="T6" s="4">
        <v>6.0890000000000004</v>
      </c>
      <c r="U6" s="4">
        <v>6.585</v>
      </c>
      <c r="V6" s="4">
        <v>-9.4149999999999991</v>
      </c>
      <c r="W6" s="4">
        <v>5.9189999999999996</v>
      </c>
      <c r="X6" s="4">
        <v>3.657</v>
      </c>
      <c r="Y6" s="4">
        <v>3.7639999999999998</v>
      </c>
      <c r="Z6" s="4">
        <v>3.3220000000000001</v>
      </c>
      <c r="AA6" s="4">
        <v>2.8959999999999999</v>
      </c>
      <c r="AB6" s="4">
        <v>4.4530000000000003</v>
      </c>
      <c r="AC6" s="4">
        <v>1.4550000000000001</v>
      </c>
      <c r="AD6" s="4">
        <v>2.6720000000000002</v>
      </c>
      <c r="AE6" s="4">
        <v>6.8109999999999999</v>
      </c>
      <c r="AF6" s="4">
        <v>6.8559999999999999</v>
      </c>
      <c r="AG6" s="4">
        <v>1.6519999999999999</v>
      </c>
      <c r="AH6" s="4">
        <v>2.9390000000000001</v>
      </c>
      <c r="AI6" s="4">
        <v>4.1130000000000004</v>
      </c>
      <c r="AJ6" s="4">
        <v>5.1349999999999998</v>
      </c>
      <c r="AK6" s="4">
        <v>6.0010000000000003</v>
      </c>
      <c r="AL6" s="4">
        <v>5.9640000000000004</v>
      </c>
      <c r="AM6" s="4">
        <v>1.1919999999999999</v>
      </c>
      <c r="AN6" s="4">
        <v>4.1680000000000001</v>
      </c>
      <c r="AO6" s="4">
        <v>-0.621</v>
      </c>
      <c r="AP6" s="4">
        <v>5.6779999999999999</v>
      </c>
      <c r="AQ6" s="4">
        <v>2.1509999999999998</v>
      </c>
      <c r="AR6" s="4">
        <v>-0.43</v>
      </c>
      <c r="AS6" s="4">
        <v>5.26</v>
      </c>
      <c r="AT6" s="4">
        <v>5.5460000000000003</v>
      </c>
      <c r="AU6" s="4">
        <v>2.9620000000000002</v>
      </c>
      <c r="AV6" s="4">
        <v>2.5470000000000002</v>
      </c>
      <c r="AW6" s="4">
        <v>9.5190000000000001</v>
      </c>
      <c r="AX6" s="4">
        <v>6.5949999999999998</v>
      </c>
      <c r="AY6" s="4">
        <v>0.54600000000000004</v>
      </c>
      <c r="AZ6" s="4">
        <v>3.1560000000000001</v>
      </c>
      <c r="BA6" s="4">
        <v>-1.5920000000000001</v>
      </c>
      <c r="BB6" s="4">
        <v>12.087</v>
      </c>
      <c r="BC6" s="4">
        <v>2.0129999999999999</v>
      </c>
      <c r="BD6" s="4">
        <v>2.798</v>
      </c>
      <c r="BE6" s="4">
        <v>2.6640000000000001</v>
      </c>
      <c r="BF6" s="4">
        <v>4.5119999999999996</v>
      </c>
      <c r="BG6" s="4">
        <v>4.8230000000000004</v>
      </c>
      <c r="BH6" s="4">
        <v>7.8259999999999996</v>
      </c>
      <c r="BI6" s="4">
        <v>7.24</v>
      </c>
      <c r="BJ6" s="4">
        <v>4.5279999999999996</v>
      </c>
      <c r="BK6" s="4">
        <v>1.76</v>
      </c>
      <c r="BL6" s="4">
        <v>-0.375</v>
      </c>
      <c r="BM6" s="4">
        <v>2.6949999999999998</v>
      </c>
      <c r="BN6" s="4">
        <v>4.0039999999999996</v>
      </c>
      <c r="BO6" s="4">
        <v>3.9689999999999999</v>
      </c>
      <c r="BP6" s="4">
        <v>-3.8820000000000001</v>
      </c>
    </row>
    <row r="7" spans="1:68" x14ac:dyDescent="0.3">
      <c r="A7" s="4" t="s">
        <v>6</v>
      </c>
      <c r="B7" s="4">
        <v>6.0049999999999999</v>
      </c>
      <c r="C7" s="4">
        <v>4.0090000000000003</v>
      </c>
      <c r="D7" s="4">
        <v>6.7190000000000003</v>
      </c>
      <c r="E7" s="4">
        <v>5.6790000000000003</v>
      </c>
      <c r="F7" s="4">
        <v>7.1040000000000001</v>
      </c>
      <c r="G7" s="4">
        <v>4.3029999999999999</v>
      </c>
      <c r="H7" s="4">
        <v>4.242</v>
      </c>
      <c r="I7" s="4">
        <v>4.2510000000000003</v>
      </c>
      <c r="J7" s="4">
        <v>11.12</v>
      </c>
      <c r="K7" s="4">
        <v>6.9130000000000003</v>
      </c>
      <c r="L7" s="4">
        <v>6.7789999999999999</v>
      </c>
      <c r="M7" s="4">
        <v>6.7889999999999997</v>
      </c>
      <c r="N7" s="4">
        <v>4.7560000000000002</v>
      </c>
      <c r="O7" s="4">
        <v>5.0869999999999997</v>
      </c>
      <c r="P7" s="4">
        <v>3.016</v>
      </c>
      <c r="Q7" s="4">
        <v>4.2080000000000002</v>
      </c>
      <c r="R7" s="4">
        <v>9.7420000000000009</v>
      </c>
      <c r="S7" s="4">
        <v>5.4390000000000001</v>
      </c>
      <c r="T7" s="4">
        <v>7.0960000000000001</v>
      </c>
      <c r="U7" s="4">
        <v>7.8529999999999998</v>
      </c>
      <c r="V7" s="4">
        <v>7.5510000000000002</v>
      </c>
      <c r="W7" s="4">
        <v>4.6470000000000002</v>
      </c>
      <c r="X7" s="4">
        <v>5.0940000000000003</v>
      </c>
      <c r="Y7" s="4">
        <v>4.4390000000000001</v>
      </c>
      <c r="Z7" s="4">
        <v>4.7880000000000003</v>
      </c>
      <c r="AA7" s="4">
        <v>4.7990000000000004</v>
      </c>
      <c r="AB7" s="4">
        <v>6.4189999999999996</v>
      </c>
      <c r="AC7" s="4">
        <v>3.907</v>
      </c>
      <c r="AD7" s="4">
        <v>4.532</v>
      </c>
      <c r="AE7" s="4">
        <v>5.7080000000000002</v>
      </c>
      <c r="AF7" s="4">
        <v>5.6289999999999996</v>
      </c>
      <c r="AG7" s="4">
        <v>2.673</v>
      </c>
      <c r="AH7" s="4">
        <v>5.4589999999999996</v>
      </c>
      <c r="AI7" s="4">
        <v>4.431</v>
      </c>
      <c r="AJ7" s="4">
        <v>4.9580000000000002</v>
      </c>
      <c r="AK7" s="4">
        <v>7.7160000000000002</v>
      </c>
      <c r="AL7" s="4">
        <v>5.2</v>
      </c>
      <c r="AM7" s="4">
        <v>2.036</v>
      </c>
      <c r="AN7" s="4">
        <v>4.7779999999999996</v>
      </c>
      <c r="AO7" s="4">
        <v>4.1390000000000002</v>
      </c>
      <c r="AP7" s="4">
        <v>4.5739999999999998</v>
      </c>
      <c r="AQ7" s="4">
        <v>9.6999999999999993</v>
      </c>
      <c r="AR7" s="4">
        <v>6.1959999999999997</v>
      </c>
      <c r="AS7" s="4">
        <v>5.4260000000000002</v>
      </c>
      <c r="AT7" s="4">
        <v>5.4989999999999997</v>
      </c>
      <c r="AU7" s="4">
        <v>3.411</v>
      </c>
      <c r="AV7" s="4">
        <v>3.5089999999999999</v>
      </c>
      <c r="AW7" s="4">
        <v>11.503</v>
      </c>
      <c r="AX7" s="4">
        <v>9.9550000000000001</v>
      </c>
      <c r="AY7" s="4">
        <v>5.4809999999999999</v>
      </c>
      <c r="AZ7" s="4">
        <v>4.5720000000000001</v>
      </c>
      <c r="BA7" s="4">
        <v>3.113</v>
      </c>
      <c r="BB7" s="4">
        <v>12.962999999999999</v>
      </c>
      <c r="BC7" s="4">
        <v>7.0490000000000004</v>
      </c>
      <c r="BD7" s="4">
        <v>2.5870000000000002</v>
      </c>
      <c r="BE7" s="4">
        <v>4.7889999999999997</v>
      </c>
      <c r="BF7" s="4">
        <v>5.97</v>
      </c>
      <c r="BG7" s="4">
        <v>7.4960000000000004</v>
      </c>
      <c r="BH7" s="4">
        <v>6.5060000000000002</v>
      </c>
      <c r="BI7" s="4">
        <v>7.8710000000000004</v>
      </c>
      <c r="BJ7" s="4">
        <v>4.8070000000000004</v>
      </c>
      <c r="BK7" s="4">
        <v>4.0609999999999999</v>
      </c>
      <c r="BL7" s="4">
        <v>3.1429999999999998</v>
      </c>
      <c r="BM7" s="4">
        <v>3.4089999999999998</v>
      </c>
      <c r="BN7" s="4">
        <v>5.7039999999999997</v>
      </c>
      <c r="BO7" s="4">
        <v>3.7240000000000002</v>
      </c>
      <c r="BP7" s="4">
        <v>2.2509999999999999</v>
      </c>
    </row>
    <row r="8" spans="1:68" x14ac:dyDescent="0.3">
      <c r="A8" s="4" t="s">
        <v>7</v>
      </c>
      <c r="B8" s="4">
        <v>2.9329999999999998</v>
      </c>
      <c r="C8" s="4">
        <v>2.0859999999999999</v>
      </c>
      <c r="D8" s="4">
        <v>4.2610000000000001</v>
      </c>
      <c r="E8" s="4">
        <v>4.1689999999999996</v>
      </c>
      <c r="F8" s="4">
        <v>4.3079999999999998</v>
      </c>
      <c r="G8" s="4">
        <v>2.2280000000000002</v>
      </c>
      <c r="H8" s="4">
        <v>1.9430000000000001</v>
      </c>
      <c r="I8" s="4">
        <v>1.181</v>
      </c>
      <c r="J8" s="4">
        <v>7.306</v>
      </c>
      <c r="K8" s="4">
        <v>4.3719999999999999</v>
      </c>
      <c r="L8" s="4">
        <v>4.2510000000000003</v>
      </c>
      <c r="M8" s="4">
        <v>4.4909999999999997</v>
      </c>
      <c r="N8" s="4">
        <v>2.3140000000000001</v>
      </c>
      <c r="O8" s="4">
        <v>1.508</v>
      </c>
      <c r="P8" s="4">
        <v>1.514</v>
      </c>
      <c r="Q8" s="4">
        <v>2.5590000000000002</v>
      </c>
      <c r="R8" s="4">
        <v>6.2050000000000001</v>
      </c>
      <c r="S8" s="4">
        <v>3.2549999999999999</v>
      </c>
      <c r="T8" s="4">
        <v>4.4349999999999996</v>
      </c>
      <c r="U8" s="4">
        <v>5.2649999999999997</v>
      </c>
      <c r="V8" s="4">
        <v>1.5589999999999999</v>
      </c>
      <c r="W8" s="4">
        <v>2.419</v>
      </c>
      <c r="X8" s="4">
        <v>3.4649999999999999</v>
      </c>
      <c r="Y8" s="4">
        <v>2.504</v>
      </c>
      <c r="Z8" s="4">
        <v>2.8039999999999998</v>
      </c>
      <c r="AA8" s="4">
        <v>3.02</v>
      </c>
      <c r="AB8" s="4">
        <v>3.9159999999999999</v>
      </c>
      <c r="AC8" s="4">
        <v>1.9410000000000001</v>
      </c>
      <c r="AD8" s="4">
        <v>2.2869999999999999</v>
      </c>
      <c r="AE8" s="4">
        <v>3.0049999999999999</v>
      </c>
      <c r="AF8" s="4">
        <v>3.161</v>
      </c>
      <c r="AG8" s="4">
        <v>1.2889999999999999</v>
      </c>
      <c r="AH8" s="4">
        <v>3.4769999999999999</v>
      </c>
      <c r="AI8" s="4">
        <v>2.363</v>
      </c>
      <c r="AJ8" s="4">
        <v>2.74</v>
      </c>
      <c r="AK8" s="4">
        <v>5.1589999999999998</v>
      </c>
      <c r="AL8" s="4">
        <v>2.9350000000000001</v>
      </c>
      <c r="AM8" s="4">
        <v>1.0089999999999999</v>
      </c>
      <c r="AN8" s="4">
        <v>2.6739999999999999</v>
      </c>
      <c r="AO8" s="4">
        <v>1.7</v>
      </c>
      <c r="AP8" s="4">
        <v>2.7050000000000001</v>
      </c>
      <c r="AQ8" s="4">
        <v>6.4569999999999999</v>
      </c>
      <c r="AR8" s="4">
        <v>2.72</v>
      </c>
      <c r="AS8" s="4">
        <v>3.4060000000000001</v>
      </c>
      <c r="AT8" s="4">
        <v>3.569</v>
      </c>
      <c r="AU8" s="4">
        <v>1.3560000000000001</v>
      </c>
      <c r="AV8" s="4">
        <v>1.7649999999999999</v>
      </c>
      <c r="AW8" s="4">
        <v>8.1199999999999992</v>
      </c>
      <c r="AX8" s="4">
        <v>7.2510000000000003</v>
      </c>
      <c r="AY8" s="4">
        <v>2.351</v>
      </c>
      <c r="AZ8" s="4">
        <v>2.577</v>
      </c>
      <c r="BA8" s="4">
        <v>0.73199999999999998</v>
      </c>
      <c r="BB8" s="4">
        <v>9.0169999999999995</v>
      </c>
      <c r="BC8" s="4">
        <v>3.1429999999999998</v>
      </c>
      <c r="BD8" s="4">
        <v>1.196</v>
      </c>
      <c r="BE8" s="4">
        <v>2.6949999999999998</v>
      </c>
      <c r="BF8" s="4">
        <v>3.081</v>
      </c>
      <c r="BG8" s="4">
        <v>5.08</v>
      </c>
      <c r="BH8" s="4">
        <v>3.851</v>
      </c>
      <c r="BI8" s="4">
        <v>4.9560000000000004</v>
      </c>
      <c r="BJ8" s="4">
        <v>2.8090000000000002</v>
      </c>
      <c r="BK8" s="4">
        <v>1.651</v>
      </c>
      <c r="BL8" s="4">
        <v>1.3380000000000001</v>
      </c>
      <c r="BM8" s="4">
        <v>1.7869999999999999</v>
      </c>
      <c r="BN8" s="4">
        <v>3.1360000000000001</v>
      </c>
      <c r="BO8" s="4">
        <v>1.9339999999999999</v>
      </c>
      <c r="BP8" s="4">
        <v>-0.21299999999999999</v>
      </c>
    </row>
    <row r="9" spans="1:68" x14ac:dyDescent="0.3">
      <c r="A9" s="4" t="s">
        <v>8</v>
      </c>
      <c r="B9" s="4">
        <v>7.383</v>
      </c>
      <c r="C9" s="4">
        <v>6.4950000000000001</v>
      </c>
      <c r="D9" s="4">
        <v>8.7769999999999992</v>
      </c>
      <c r="E9" s="4">
        <v>8.6739999999999995</v>
      </c>
      <c r="F9" s="4">
        <v>8.8179999999999996</v>
      </c>
      <c r="G9" s="4">
        <v>6.6219999999999999</v>
      </c>
      <c r="H9" s="4">
        <v>6.3280000000000003</v>
      </c>
      <c r="I9" s="4">
        <v>5.5359999999999996</v>
      </c>
      <c r="J9" s="4">
        <v>11.87</v>
      </c>
      <c r="K9" s="4">
        <v>8.8740000000000006</v>
      </c>
      <c r="L9" s="4">
        <v>8.7550000000000008</v>
      </c>
      <c r="M9" s="4">
        <v>9.0009999999999994</v>
      </c>
      <c r="N9" s="4">
        <v>6.7359999999999998</v>
      </c>
      <c r="O9" s="4">
        <v>5.8879999999999999</v>
      </c>
      <c r="P9" s="4">
        <v>5.8940000000000001</v>
      </c>
      <c r="Q9" s="4">
        <v>6.9470000000000001</v>
      </c>
      <c r="R9" s="4">
        <v>10.791</v>
      </c>
      <c r="S9" s="4">
        <v>7.726</v>
      </c>
      <c r="T9" s="4">
        <v>8.9339999999999993</v>
      </c>
      <c r="U9" s="4">
        <v>9.7940000000000005</v>
      </c>
      <c r="V9" s="4">
        <v>5.9509999999999996</v>
      </c>
      <c r="W9" s="4">
        <v>6.8440000000000003</v>
      </c>
      <c r="X9" s="4">
        <v>7.9089999999999998</v>
      </c>
      <c r="Y9" s="4">
        <v>6.9260000000000002</v>
      </c>
      <c r="Z9" s="4">
        <v>7.21</v>
      </c>
      <c r="AA9" s="4">
        <v>7.4329999999999998</v>
      </c>
      <c r="AB9" s="4">
        <v>8.3800000000000008</v>
      </c>
      <c r="AC9" s="4">
        <v>6.351</v>
      </c>
      <c r="AD9" s="4">
        <v>6.702</v>
      </c>
      <c r="AE9" s="4">
        <v>7.4539999999999997</v>
      </c>
      <c r="AF9" s="4">
        <v>7.6379999999999999</v>
      </c>
      <c r="AG9" s="4">
        <v>5.6479999999999997</v>
      </c>
      <c r="AH9" s="4">
        <v>7.9470000000000001</v>
      </c>
      <c r="AI9" s="4">
        <v>6.7729999999999997</v>
      </c>
      <c r="AJ9" s="4">
        <v>7.19</v>
      </c>
      <c r="AK9" s="4">
        <v>9.6890000000000001</v>
      </c>
      <c r="AL9" s="4">
        <v>7.3760000000000003</v>
      </c>
      <c r="AM9" s="4">
        <v>5.399</v>
      </c>
      <c r="AN9" s="4">
        <v>7.1070000000000002</v>
      </c>
      <c r="AO9" s="4">
        <v>6.0549999999999997</v>
      </c>
      <c r="AP9" s="4">
        <v>7.1440000000000001</v>
      </c>
      <c r="AQ9" s="4">
        <v>11.052</v>
      </c>
      <c r="AR9" s="4">
        <v>7.1479999999999997</v>
      </c>
      <c r="AS9" s="4">
        <v>7.867</v>
      </c>
      <c r="AT9" s="4">
        <v>8.0359999999999996</v>
      </c>
      <c r="AU9" s="4">
        <v>5.7590000000000003</v>
      </c>
      <c r="AV9" s="4">
        <v>6.1689999999999996</v>
      </c>
      <c r="AW9" s="4">
        <v>12.760999999999999</v>
      </c>
      <c r="AX9" s="4">
        <v>11.885</v>
      </c>
      <c r="AY9" s="4">
        <v>6.7619999999999996</v>
      </c>
      <c r="AZ9" s="4">
        <v>7.0019999999999998</v>
      </c>
      <c r="BA9" s="4">
        <v>5.0810000000000004</v>
      </c>
      <c r="BB9" s="4">
        <v>13.724</v>
      </c>
      <c r="BC9" s="4">
        <v>7.6070000000000002</v>
      </c>
      <c r="BD9" s="4">
        <v>5.5750000000000002</v>
      </c>
      <c r="BE9" s="4">
        <v>7.1230000000000002</v>
      </c>
      <c r="BF9" s="4">
        <v>7.5330000000000004</v>
      </c>
      <c r="BG9" s="4">
        <v>9.6010000000000009</v>
      </c>
      <c r="BH9" s="4">
        <v>8.3360000000000003</v>
      </c>
      <c r="BI9" s="4">
        <v>9.407</v>
      </c>
      <c r="BJ9" s="4">
        <v>7.2460000000000004</v>
      </c>
      <c r="BK9" s="4">
        <v>6.0350000000000001</v>
      </c>
      <c r="BL9" s="4">
        <v>5.7069999999999999</v>
      </c>
      <c r="BM9" s="4">
        <v>6.1859999999999999</v>
      </c>
      <c r="BN9" s="4">
        <v>7.5839999999999996</v>
      </c>
      <c r="BO9" s="4">
        <v>6.343</v>
      </c>
      <c r="BP9" s="4">
        <v>4.1040000000000001</v>
      </c>
    </row>
    <row r="10" spans="1:68" x14ac:dyDescent="0.3">
      <c r="A10" s="4" t="s">
        <v>9</v>
      </c>
      <c r="B10" s="4">
        <v>5.3</v>
      </c>
      <c r="C10" s="4">
        <v>5.3860000000000001</v>
      </c>
      <c r="D10" s="4">
        <v>9.5359999999999996</v>
      </c>
      <c r="E10" s="4">
        <v>8.5660000000000007</v>
      </c>
      <c r="F10" s="4">
        <v>9.7810000000000006</v>
      </c>
      <c r="G10" s="4">
        <v>3.9950000000000001</v>
      </c>
      <c r="H10" s="4">
        <v>2.58</v>
      </c>
      <c r="I10" s="4">
        <v>0.872</v>
      </c>
      <c r="J10" s="4">
        <v>14.762</v>
      </c>
      <c r="K10" s="4">
        <v>9.2270000000000003</v>
      </c>
      <c r="L10" s="4">
        <v>8.7230000000000008</v>
      </c>
      <c r="M10" s="4">
        <v>8.6649999999999991</v>
      </c>
      <c r="N10" s="4">
        <v>5.4930000000000003</v>
      </c>
      <c r="O10" s="4">
        <v>-0.192</v>
      </c>
      <c r="P10" s="4">
        <v>4.9649999999999999</v>
      </c>
      <c r="Q10" s="4">
        <v>6.1390000000000002</v>
      </c>
      <c r="R10" s="4">
        <v>10.015000000000001</v>
      </c>
      <c r="S10" s="4">
        <v>7.9660000000000002</v>
      </c>
      <c r="T10" s="4">
        <v>8.0329999999999995</v>
      </c>
      <c r="U10" s="4">
        <v>10.893000000000001</v>
      </c>
      <c r="V10" s="4">
        <v>-5.2110000000000003</v>
      </c>
      <c r="W10" s="4">
        <v>5.9059999999999997</v>
      </c>
      <c r="X10" s="4">
        <v>7.569</v>
      </c>
      <c r="Y10" s="4">
        <v>6.42</v>
      </c>
      <c r="Z10" s="4">
        <v>5.9290000000000003</v>
      </c>
      <c r="AA10" s="4">
        <v>6.7160000000000002</v>
      </c>
      <c r="AB10" s="4">
        <v>8.2889999999999997</v>
      </c>
      <c r="AC10" s="4">
        <v>4.8719999999999999</v>
      </c>
      <c r="AD10" s="4">
        <v>4.7080000000000002</v>
      </c>
      <c r="AE10" s="4">
        <v>7.1269999999999998</v>
      </c>
      <c r="AF10" s="4">
        <v>8.6739999999999995</v>
      </c>
      <c r="AG10" s="4">
        <v>3.2919999999999998</v>
      </c>
      <c r="AH10" s="4">
        <v>6.7279999999999998</v>
      </c>
      <c r="AI10" s="4">
        <v>5.7560000000000002</v>
      </c>
      <c r="AJ10" s="4">
        <v>6.99</v>
      </c>
      <c r="AK10" s="4">
        <v>10.741</v>
      </c>
      <c r="AL10" s="4">
        <v>6.6710000000000003</v>
      </c>
      <c r="AM10" s="4">
        <v>3.992</v>
      </c>
      <c r="AN10" s="4">
        <v>6.4859999999999998</v>
      </c>
      <c r="AO10" s="4">
        <v>2.883</v>
      </c>
      <c r="AP10" s="4">
        <v>6.4790000000000001</v>
      </c>
      <c r="AQ10" s="4">
        <v>7.085</v>
      </c>
      <c r="AR10" s="4">
        <v>1.087</v>
      </c>
      <c r="AS10" s="4">
        <v>7.3029999999999999</v>
      </c>
      <c r="AT10" s="4">
        <v>7.3220000000000001</v>
      </c>
      <c r="AU10" s="4">
        <v>5.5049999999999999</v>
      </c>
      <c r="AV10" s="4">
        <v>5.3540000000000001</v>
      </c>
      <c r="AW10" s="4">
        <v>15.301</v>
      </c>
      <c r="AX10" s="4">
        <v>12.191000000000001</v>
      </c>
      <c r="AY10" s="4">
        <v>2.448</v>
      </c>
      <c r="AZ10" s="4">
        <v>5.85</v>
      </c>
      <c r="BA10" s="4">
        <v>0.74</v>
      </c>
      <c r="BB10" s="4">
        <v>17.001000000000001</v>
      </c>
      <c r="BC10" s="4">
        <v>6.5910000000000002</v>
      </c>
      <c r="BD10" s="4">
        <v>4.665</v>
      </c>
      <c r="BE10" s="4">
        <v>5.88</v>
      </c>
      <c r="BF10" s="4">
        <v>6.0510000000000002</v>
      </c>
      <c r="BG10" s="4">
        <v>10.379</v>
      </c>
      <c r="BH10" s="4">
        <v>8.4250000000000007</v>
      </c>
      <c r="BI10" s="4">
        <v>10.6</v>
      </c>
      <c r="BJ10" s="4">
        <v>6.6210000000000004</v>
      </c>
      <c r="BK10" s="4">
        <v>4.3529999999999998</v>
      </c>
      <c r="BL10" s="4">
        <v>2.4950000000000001</v>
      </c>
      <c r="BM10" s="4">
        <v>4.5330000000000004</v>
      </c>
      <c r="BN10" s="4">
        <v>6.9390000000000001</v>
      </c>
      <c r="BO10" s="4">
        <v>5.6859999999999999</v>
      </c>
      <c r="BP10" s="4">
        <v>-0.13400000000000001</v>
      </c>
    </row>
    <row r="11" spans="1:68" x14ac:dyDescent="0.3">
      <c r="A11" s="4" t="s">
        <v>10</v>
      </c>
      <c r="B11" s="4">
        <v>-2.2690000000000001</v>
      </c>
      <c r="C11" s="4">
        <v>-1.1839999999999999</v>
      </c>
      <c r="D11" s="4">
        <v>-1.2929999999999999</v>
      </c>
      <c r="E11" s="4">
        <v>-1.181</v>
      </c>
      <c r="F11" s="4">
        <v>-1.3180000000000001</v>
      </c>
      <c r="G11" s="4">
        <v>-1.8959999999999999</v>
      </c>
      <c r="H11" s="4">
        <v>-2.331</v>
      </c>
      <c r="I11" s="4">
        <v>-3.718</v>
      </c>
      <c r="J11" s="4">
        <v>-0.56000000000000005</v>
      </c>
      <c r="K11" s="4">
        <v>-1.159</v>
      </c>
      <c r="L11" s="4">
        <v>-1.738</v>
      </c>
      <c r="M11" s="4">
        <v>-1.9330000000000001</v>
      </c>
      <c r="N11" s="4">
        <v>-1.288</v>
      </c>
      <c r="O11" s="4">
        <v>-4.42</v>
      </c>
      <c r="P11" s="4">
        <v>-0.46500000000000002</v>
      </c>
      <c r="Q11" s="4">
        <v>-0.155</v>
      </c>
      <c r="R11" s="4">
        <v>-2.7970000000000002</v>
      </c>
      <c r="S11" s="4">
        <v>-1.3080000000000001</v>
      </c>
      <c r="T11" s="4">
        <v>-1.607</v>
      </c>
      <c r="U11" s="4">
        <v>-0.83599999999999997</v>
      </c>
      <c r="V11" s="4">
        <v>-9.4120000000000008</v>
      </c>
      <c r="W11" s="4">
        <v>-0.79400000000000004</v>
      </c>
      <c r="X11" s="4">
        <v>-0.40799999999999997</v>
      </c>
      <c r="Y11" s="4">
        <v>-0.70599999999999996</v>
      </c>
      <c r="Z11" s="4">
        <v>-0.40100000000000002</v>
      </c>
      <c r="AA11" s="4">
        <v>-0.39500000000000002</v>
      </c>
      <c r="AB11" s="4">
        <v>-0.92800000000000005</v>
      </c>
      <c r="AC11" s="4">
        <v>-1.7230000000000001</v>
      </c>
      <c r="AD11" s="4">
        <v>-1.825</v>
      </c>
      <c r="AE11" s="4">
        <v>-0.71299999999999997</v>
      </c>
      <c r="AF11" s="4">
        <v>-2.0379999999999998</v>
      </c>
      <c r="AG11" s="4">
        <v>-0.89600000000000002</v>
      </c>
      <c r="AH11" s="4">
        <v>-1.611</v>
      </c>
      <c r="AI11" s="4">
        <v>-0.72</v>
      </c>
      <c r="AJ11" s="4">
        <v>-1.121</v>
      </c>
      <c r="AK11" s="4">
        <v>-0.89800000000000002</v>
      </c>
      <c r="AL11" s="4">
        <v>-0.84599999999999997</v>
      </c>
      <c r="AM11" s="4">
        <v>-1.07</v>
      </c>
      <c r="AN11" s="4">
        <v>-1.2150000000000001</v>
      </c>
      <c r="AO11" s="4">
        <v>-2.3580000000000001</v>
      </c>
      <c r="AP11" s="4">
        <v>-0.86199999999999999</v>
      </c>
      <c r="AQ11" s="4">
        <v>-4.2279999999999998</v>
      </c>
      <c r="AR11" s="4">
        <v>-4.7779999999999996</v>
      </c>
      <c r="AS11" s="4">
        <v>-0.80600000000000005</v>
      </c>
      <c r="AT11" s="4">
        <v>-0.93899999999999995</v>
      </c>
      <c r="AU11" s="4">
        <v>-1.2050000000000001</v>
      </c>
      <c r="AV11" s="4">
        <v>-0.998</v>
      </c>
      <c r="AW11" s="4">
        <v>-1.1140000000000001</v>
      </c>
      <c r="AX11" s="4">
        <v>-2.1960000000000002</v>
      </c>
      <c r="AY11" s="4">
        <v>-3.7949999999999999</v>
      </c>
      <c r="AZ11" s="4">
        <v>-1.2869999999999999</v>
      </c>
      <c r="BA11" s="4">
        <v>-3.1280000000000001</v>
      </c>
      <c r="BB11" s="4">
        <v>-2.1320000000000001</v>
      </c>
      <c r="BC11" s="4">
        <v>-3.137</v>
      </c>
      <c r="BD11" s="4">
        <v>-0.84099999999999997</v>
      </c>
      <c r="BE11" s="4">
        <v>-1.5309999999999999</v>
      </c>
      <c r="BF11" s="4">
        <v>-2.2410000000000001</v>
      </c>
      <c r="BG11" s="4">
        <v>-1.0760000000000001</v>
      </c>
      <c r="BH11" s="4">
        <v>-0.79600000000000004</v>
      </c>
      <c r="BI11" s="4">
        <v>-3.2000000000000001E-2</v>
      </c>
      <c r="BJ11" s="4">
        <v>-0.81299999999999994</v>
      </c>
      <c r="BK11" s="4">
        <v>-1.6950000000000001</v>
      </c>
      <c r="BL11" s="4">
        <v>-1.82</v>
      </c>
      <c r="BM11" s="4">
        <v>-1.224</v>
      </c>
      <c r="BN11" s="4">
        <v>-1.61</v>
      </c>
      <c r="BO11" s="4">
        <v>-0.85099999999999998</v>
      </c>
      <c r="BP11" s="4">
        <v>-3.601</v>
      </c>
    </row>
    <row r="12" spans="1:68" x14ac:dyDescent="0.3">
      <c r="A12" s="4" t="s">
        <v>11</v>
      </c>
      <c r="B12" s="4">
        <v>-2.831</v>
      </c>
      <c r="C12" s="4">
        <v>-3.4990000000000001</v>
      </c>
      <c r="D12" s="4">
        <v>-2.9159999999999999</v>
      </c>
      <c r="E12" s="4">
        <v>-2.6659999999999999</v>
      </c>
      <c r="F12" s="4">
        <v>-2.6030000000000002</v>
      </c>
      <c r="G12" s="4">
        <v>-3.585</v>
      </c>
      <c r="H12" s="4">
        <v>-3.1720000000000002</v>
      </c>
      <c r="I12" s="4">
        <v>-3.5270000000000001</v>
      </c>
      <c r="J12" s="4">
        <v>-2.8849999999999998</v>
      </c>
      <c r="K12" s="4">
        <v>-3.3559999999999999</v>
      </c>
      <c r="L12" s="4">
        <v>-3.0470000000000002</v>
      </c>
      <c r="M12" s="4">
        <v>-2.9430000000000001</v>
      </c>
      <c r="N12" s="4">
        <v>-3.157</v>
      </c>
      <c r="O12" s="4">
        <v>-3.2530000000000001</v>
      </c>
      <c r="P12" s="4">
        <v>-2.7389999999999999</v>
      </c>
      <c r="Q12" s="4">
        <v>-3.4950000000000001</v>
      </c>
      <c r="R12" s="4">
        <v>-3.173</v>
      </c>
      <c r="S12" s="4">
        <v>-2.798</v>
      </c>
      <c r="T12" s="4">
        <v>-3.597</v>
      </c>
      <c r="U12" s="4">
        <v>-3.4279999999999999</v>
      </c>
      <c r="V12" s="4">
        <v>-3.59</v>
      </c>
      <c r="W12" s="4">
        <v>-3.4319999999999999</v>
      </c>
      <c r="X12" s="4">
        <v>-2.0609999999999999</v>
      </c>
      <c r="Y12" s="4">
        <v>-2.7440000000000002</v>
      </c>
      <c r="Z12" s="4">
        <v>-3.51</v>
      </c>
      <c r="AA12" s="4">
        <v>-3.5990000000000002</v>
      </c>
      <c r="AB12" s="4">
        <v>-3.1230000000000002</v>
      </c>
      <c r="AC12" s="4">
        <v>-3.4809999999999999</v>
      </c>
      <c r="AD12" s="4">
        <v>-3.2229999999999999</v>
      </c>
      <c r="AE12" s="4">
        <v>-2.9950000000000001</v>
      </c>
      <c r="AF12" s="4">
        <v>-3.5110000000000001</v>
      </c>
      <c r="AG12" s="4">
        <v>-3.601</v>
      </c>
      <c r="AH12" s="4">
        <v>-3.431</v>
      </c>
      <c r="AI12" s="4">
        <v>-3.2509999999999999</v>
      </c>
      <c r="AJ12" s="4">
        <v>-2.3450000000000002</v>
      </c>
      <c r="AK12" s="4">
        <v>-3.8159999999999998</v>
      </c>
      <c r="AL12" s="4">
        <v>-3.3050000000000002</v>
      </c>
      <c r="AM12" s="4">
        <v>-3.141</v>
      </c>
      <c r="AN12" s="4">
        <v>-3.0489999999999999</v>
      </c>
      <c r="AO12" s="4">
        <v>-3.5150000000000001</v>
      </c>
      <c r="AP12" s="4">
        <v>-3.282</v>
      </c>
      <c r="AQ12" s="4">
        <v>-3.5870000000000002</v>
      </c>
      <c r="AR12" s="4">
        <v>-3.4569999999999999</v>
      </c>
      <c r="AS12" s="4">
        <v>-3.444</v>
      </c>
      <c r="AT12" s="4">
        <v>-3.419</v>
      </c>
      <c r="AU12" s="4">
        <v>-2.3610000000000002</v>
      </c>
      <c r="AV12" s="4">
        <v>-2.5630000000000002</v>
      </c>
      <c r="AW12" s="4">
        <v>-3.4220000000000002</v>
      </c>
      <c r="AX12" s="4">
        <v>-3.2829999999999999</v>
      </c>
      <c r="AY12" s="4">
        <v>-3.7130000000000001</v>
      </c>
      <c r="AZ12" s="4">
        <v>-3.1030000000000002</v>
      </c>
      <c r="BA12" s="4">
        <v>-3.673</v>
      </c>
      <c r="BB12" s="4">
        <v>-3.1859999999999999</v>
      </c>
      <c r="BC12" s="4">
        <v>-3.3570000000000002</v>
      </c>
      <c r="BD12" s="4">
        <v>-3.4129999999999998</v>
      </c>
      <c r="BE12" s="4">
        <v>-3.4180000000000001</v>
      </c>
      <c r="BF12" s="4">
        <v>-3.5680000000000001</v>
      </c>
      <c r="BG12" s="4">
        <v>-3.6619999999999999</v>
      </c>
      <c r="BH12" s="4">
        <v>-3.2130000000000001</v>
      </c>
      <c r="BI12" s="4">
        <v>-3.3690000000000002</v>
      </c>
      <c r="BJ12" s="4">
        <v>-3.3679999999999999</v>
      </c>
      <c r="BK12" s="4">
        <v>-3.6339999999999999</v>
      </c>
      <c r="BL12" s="4">
        <v>-3.673</v>
      </c>
      <c r="BM12" s="4">
        <v>-3.3639999999999999</v>
      </c>
      <c r="BN12" s="4">
        <v>-3.698</v>
      </c>
      <c r="BO12" s="4">
        <v>-3.25</v>
      </c>
      <c r="BP12" s="4">
        <v>-3.7759999999999998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08A2-512D-4DBC-9528-50CA0106D7B5}">
  <dimension ref="A1:B68"/>
  <sheetViews>
    <sheetView workbookViewId="0">
      <selection activeCell="I14" sqref="I14"/>
    </sheetView>
  </sheetViews>
  <sheetFormatPr defaultRowHeight="14.4" x14ac:dyDescent="0.3"/>
  <cols>
    <col min="1" max="1" width="15.33203125" bestFit="1" customWidth="1"/>
  </cols>
  <sheetData>
    <row r="1" spans="1:2" x14ac:dyDescent="0.3">
      <c r="A1" s="1" t="s">
        <v>81</v>
      </c>
      <c r="B1" s="1" t="s">
        <v>82</v>
      </c>
    </row>
    <row r="2" spans="1:2" x14ac:dyDescent="0.3">
      <c r="A2" s="1" t="s">
        <v>66</v>
      </c>
      <c r="B2" s="1">
        <v>12.962999999999999</v>
      </c>
    </row>
    <row r="3" spans="1:2" x14ac:dyDescent="0.3">
      <c r="A3" s="1" t="s">
        <v>61</v>
      </c>
      <c r="B3" s="1">
        <v>11.503</v>
      </c>
    </row>
    <row r="4" spans="1:2" x14ac:dyDescent="0.3">
      <c r="A4" s="1" t="s">
        <v>22</v>
      </c>
      <c r="B4" s="1">
        <v>11.12</v>
      </c>
    </row>
    <row r="5" spans="1:2" x14ac:dyDescent="0.3">
      <c r="A5" s="1" t="s">
        <v>62</v>
      </c>
      <c r="B5" s="1">
        <v>9.9550000000000001</v>
      </c>
    </row>
    <row r="6" spans="1:2" x14ac:dyDescent="0.3">
      <c r="A6" s="1" t="s">
        <v>30</v>
      </c>
      <c r="B6" s="1">
        <v>9.7420000000000009</v>
      </c>
    </row>
    <row r="7" spans="1:2" x14ac:dyDescent="0.3">
      <c r="A7" s="1" t="s">
        <v>55</v>
      </c>
      <c r="B7" s="1">
        <v>9.6999999999999993</v>
      </c>
    </row>
    <row r="8" spans="1:2" x14ac:dyDescent="0.3">
      <c r="A8" s="1" t="s">
        <v>73</v>
      </c>
      <c r="B8" s="1">
        <v>7.8710000000000004</v>
      </c>
    </row>
    <row r="9" spans="1:2" x14ac:dyDescent="0.3">
      <c r="A9" s="1" t="s">
        <v>33</v>
      </c>
      <c r="B9" s="1">
        <v>7.8529999999999998</v>
      </c>
    </row>
    <row r="10" spans="1:2" x14ac:dyDescent="0.3">
      <c r="A10" s="1" t="s">
        <v>49</v>
      </c>
      <c r="B10" s="1">
        <v>7.7160000000000002</v>
      </c>
    </row>
    <row r="11" spans="1:2" x14ac:dyDescent="0.3">
      <c r="A11" s="1" t="s">
        <v>34</v>
      </c>
      <c r="B11" s="1">
        <v>7.5510000000000002</v>
      </c>
    </row>
    <row r="12" spans="1:2" x14ac:dyDescent="0.3">
      <c r="A12" s="1" t="s">
        <v>71</v>
      </c>
      <c r="B12" s="1">
        <v>7.4960000000000004</v>
      </c>
    </row>
    <row r="13" spans="1:2" x14ac:dyDescent="0.3">
      <c r="A13" s="1" t="s">
        <v>18</v>
      </c>
      <c r="B13" s="1">
        <v>7.1040000000000001</v>
      </c>
    </row>
    <row r="14" spans="1:2" x14ac:dyDescent="0.3">
      <c r="A14" s="1" t="s">
        <v>32</v>
      </c>
      <c r="B14" s="1">
        <v>7.0960000000000001</v>
      </c>
    </row>
    <row r="15" spans="1:2" x14ac:dyDescent="0.3">
      <c r="A15" s="1" t="s">
        <v>67</v>
      </c>
      <c r="B15" s="1">
        <v>7.0490000000000004</v>
      </c>
    </row>
    <row r="16" spans="1:2" x14ac:dyDescent="0.3">
      <c r="A16" s="1" t="s">
        <v>23</v>
      </c>
      <c r="B16" s="1">
        <v>6.9130000000000003</v>
      </c>
    </row>
    <row r="17" spans="1:2" x14ac:dyDescent="0.3">
      <c r="A17" s="1" t="s">
        <v>25</v>
      </c>
      <c r="B17" s="1">
        <v>6.7889999999999997</v>
      </c>
    </row>
    <row r="18" spans="1:2" x14ac:dyDescent="0.3">
      <c r="A18" s="1" t="s">
        <v>24</v>
      </c>
      <c r="B18" s="1">
        <v>6.7789999999999999</v>
      </c>
    </row>
    <row r="19" spans="1:2" x14ac:dyDescent="0.3">
      <c r="A19" s="1" t="s">
        <v>16</v>
      </c>
      <c r="B19" s="1">
        <v>6.7190000000000003</v>
      </c>
    </row>
    <row r="20" spans="1:2" x14ac:dyDescent="0.3">
      <c r="A20" s="1" t="s">
        <v>72</v>
      </c>
      <c r="B20" s="1">
        <v>6.5060000000000002</v>
      </c>
    </row>
    <row r="21" spans="1:2" x14ac:dyDescent="0.3">
      <c r="A21" s="1" t="s">
        <v>40</v>
      </c>
      <c r="B21" s="1">
        <v>6.4189999999999996</v>
      </c>
    </row>
    <row r="22" spans="1:2" x14ac:dyDescent="0.3">
      <c r="A22" s="1" t="s">
        <v>56</v>
      </c>
      <c r="B22" s="1">
        <v>6.1959999999999997</v>
      </c>
    </row>
    <row r="23" spans="1:2" x14ac:dyDescent="0.3">
      <c r="A23" s="1" t="s">
        <v>14</v>
      </c>
      <c r="B23" s="1">
        <v>6.0049999999999999</v>
      </c>
    </row>
    <row r="24" spans="1:2" x14ac:dyDescent="0.3">
      <c r="A24" s="1" t="s">
        <v>70</v>
      </c>
      <c r="B24" s="1">
        <v>5.97</v>
      </c>
    </row>
    <row r="25" spans="1:2" x14ac:dyDescent="0.3">
      <c r="A25" s="1" t="s">
        <v>43</v>
      </c>
      <c r="B25" s="1">
        <v>5.7080000000000002</v>
      </c>
    </row>
    <row r="26" spans="1:2" x14ac:dyDescent="0.3">
      <c r="A26" s="1" t="s">
        <v>78</v>
      </c>
      <c r="B26" s="1">
        <v>5.7039999999999997</v>
      </c>
    </row>
    <row r="27" spans="1:2" x14ac:dyDescent="0.3">
      <c r="A27" s="1" t="s">
        <v>17</v>
      </c>
      <c r="B27" s="1">
        <v>5.6790000000000003</v>
      </c>
    </row>
    <row r="28" spans="1:2" x14ac:dyDescent="0.3">
      <c r="A28" s="1" t="s">
        <v>44</v>
      </c>
      <c r="B28" s="1">
        <v>5.6289999999999996</v>
      </c>
    </row>
    <row r="29" spans="1:2" x14ac:dyDescent="0.3">
      <c r="A29" s="1" t="s">
        <v>58</v>
      </c>
      <c r="B29" s="1">
        <v>5.4989999999999997</v>
      </c>
    </row>
    <row r="30" spans="1:2" x14ac:dyDescent="0.3">
      <c r="A30" s="1" t="s">
        <v>63</v>
      </c>
      <c r="B30" s="1">
        <v>5.4809999999999999</v>
      </c>
    </row>
    <row r="31" spans="1:2" x14ac:dyDescent="0.3">
      <c r="A31" s="1" t="s">
        <v>46</v>
      </c>
      <c r="B31" s="1">
        <v>5.4589999999999996</v>
      </c>
    </row>
    <row r="32" spans="1:2" x14ac:dyDescent="0.3">
      <c r="A32" s="1" t="s">
        <v>31</v>
      </c>
      <c r="B32" s="1">
        <v>5.4390000000000001</v>
      </c>
    </row>
    <row r="33" spans="1:2" x14ac:dyDescent="0.3">
      <c r="A33" s="1" t="s">
        <v>57</v>
      </c>
      <c r="B33" s="1">
        <v>5.4260000000000002</v>
      </c>
    </row>
    <row r="34" spans="1:2" x14ac:dyDescent="0.3">
      <c r="A34" s="1" t="s">
        <v>50</v>
      </c>
      <c r="B34" s="1">
        <v>5.2</v>
      </c>
    </row>
    <row r="35" spans="1:2" x14ac:dyDescent="0.3">
      <c r="A35" s="1" t="s">
        <v>36</v>
      </c>
      <c r="B35" s="1">
        <v>5.0940000000000003</v>
      </c>
    </row>
    <row r="36" spans="1:2" x14ac:dyDescent="0.3">
      <c r="A36" s="1" t="s">
        <v>27</v>
      </c>
      <c r="B36" s="1">
        <v>5.0869999999999997</v>
      </c>
    </row>
    <row r="37" spans="1:2" x14ac:dyDescent="0.3">
      <c r="A37" s="1" t="s">
        <v>48</v>
      </c>
      <c r="B37" s="1">
        <v>4.9580000000000002</v>
      </c>
    </row>
    <row r="38" spans="1:2" x14ac:dyDescent="0.3">
      <c r="A38" s="1" t="s">
        <v>74</v>
      </c>
      <c r="B38" s="1">
        <v>4.8070000000000004</v>
      </c>
    </row>
    <row r="39" spans="1:2" x14ac:dyDescent="0.3">
      <c r="A39" s="1" t="s">
        <v>39</v>
      </c>
      <c r="B39" s="1">
        <v>4.7990000000000004</v>
      </c>
    </row>
    <row r="40" spans="1:2" x14ac:dyDescent="0.3">
      <c r="A40" s="1" t="s">
        <v>69</v>
      </c>
      <c r="B40" s="1">
        <v>4.7889999999999997</v>
      </c>
    </row>
    <row r="41" spans="1:2" x14ac:dyDescent="0.3">
      <c r="A41" s="1" t="s">
        <v>38</v>
      </c>
      <c r="B41" s="1">
        <v>4.7880000000000003</v>
      </c>
    </row>
    <row r="42" spans="1:2" x14ac:dyDescent="0.3">
      <c r="A42" s="1" t="s">
        <v>52</v>
      </c>
      <c r="B42" s="1">
        <v>4.7779999999999996</v>
      </c>
    </row>
    <row r="43" spans="1:2" x14ac:dyDescent="0.3">
      <c r="A43" s="1" t="s">
        <v>26</v>
      </c>
      <c r="B43" s="1">
        <v>4.7560000000000002</v>
      </c>
    </row>
    <row r="44" spans="1:2" x14ac:dyDescent="0.3">
      <c r="A44" s="1" t="s">
        <v>35</v>
      </c>
      <c r="B44" s="1">
        <v>4.6470000000000002</v>
      </c>
    </row>
    <row r="45" spans="1:2" x14ac:dyDescent="0.3">
      <c r="A45" s="1" t="s">
        <v>54</v>
      </c>
      <c r="B45" s="1">
        <v>4.5739999999999998</v>
      </c>
    </row>
    <row r="46" spans="1:2" x14ac:dyDescent="0.3">
      <c r="A46" s="1" t="s">
        <v>64</v>
      </c>
      <c r="B46" s="1">
        <v>4.5720000000000001</v>
      </c>
    </row>
    <row r="47" spans="1:2" x14ac:dyDescent="0.3">
      <c r="A47" s="1" t="s">
        <v>42</v>
      </c>
      <c r="B47" s="1">
        <v>4.532</v>
      </c>
    </row>
    <row r="48" spans="1:2" x14ac:dyDescent="0.3">
      <c r="A48" s="1" t="s">
        <v>37</v>
      </c>
      <c r="B48" s="1">
        <v>4.4390000000000001</v>
      </c>
    </row>
    <row r="49" spans="1:2" x14ac:dyDescent="0.3">
      <c r="A49" s="1" t="s">
        <v>47</v>
      </c>
      <c r="B49" s="1">
        <v>4.431</v>
      </c>
    </row>
    <row r="50" spans="1:2" x14ac:dyDescent="0.3">
      <c r="A50" s="1" t="s">
        <v>19</v>
      </c>
      <c r="B50" s="1">
        <v>4.3029999999999999</v>
      </c>
    </row>
    <row r="51" spans="1:2" x14ac:dyDescent="0.3">
      <c r="A51" s="1" t="s">
        <v>21</v>
      </c>
      <c r="B51" s="1">
        <v>4.2510000000000003</v>
      </c>
    </row>
    <row r="52" spans="1:2" x14ac:dyDescent="0.3">
      <c r="A52" s="1" t="s">
        <v>20</v>
      </c>
      <c r="B52" s="1">
        <v>4.242</v>
      </c>
    </row>
    <row r="53" spans="1:2" x14ac:dyDescent="0.3">
      <c r="A53" s="1" t="s">
        <v>29</v>
      </c>
      <c r="B53" s="1">
        <v>4.2080000000000002</v>
      </c>
    </row>
    <row r="54" spans="1:2" x14ac:dyDescent="0.3">
      <c r="A54" s="1" t="s">
        <v>53</v>
      </c>
      <c r="B54" s="1">
        <v>4.1390000000000002</v>
      </c>
    </row>
    <row r="55" spans="1:2" x14ac:dyDescent="0.3">
      <c r="A55" s="1" t="s">
        <v>75</v>
      </c>
      <c r="B55" s="1">
        <v>4.0609999999999999</v>
      </c>
    </row>
    <row r="56" spans="1:2" x14ac:dyDescent="0.3">
      <c r="A56" s="1" t="s">
        <v>15</v>
      </c>
      <c r="B56" s="1">
        <v>4.0090000000000003</v>
      </c>
    </row>
    <row r="57" spans="1:2" x14ac:dyDescent="0.3">
      <c r="A57" s="1" t="s">
        <v>41</v>
      </c>
      <c r="B57" s="1">
        <v>3.907</v>
      </c>
    </row>
    <row r="58" spans="1:2" x14ac:dyDescent="0.3">
      <c r="A58" s="1" t="s">
        <v>79</v>
      </c>
      <c r="B58" s="1">
        <v>3.7240000000000002</v>
      </c>
    </row>
    <row r="59" spans="1:2" x14ac:dyDescent="0.3">
      <c r="A59" s="1" t="s">
        <v>60</v>
      </c>
      <c r="B59" s="1">
        <v>3.5089999999999999</v>
      </c>
    </row>
    <row r="60" spans="1:2" x14ac:dyDescent="0.3">
      <c r="A60" s="1" t="s">
        <v>59</v>
      </c>
      <c r="B60" s="1">
        <v>3.411</v>
      </c>
    </row>
    <row r="61" spans="1:2" x14ac:dyDescent="0.3">
      <c r="A61" s="1" t="s">
        <v>77</v>
      </c>
      <c r="B61" s="1">
        <v>3.4089999999999998</v>
      </c>
    </row>
    <row r="62" spans="1:2" x14ac:dyDescent="0.3">
      <c r="A62" s="1" t="s">
        <v>76</v>
      </c>
      <c r="B62" s="1">
        <v>3.1429999999999998</v>
      </c>
    </row>
    <row r="63" spans="1:2" x14ac:dyDescent="0.3">
      <c r="A63" s="1" t="s">
        <v>65</v>
      </c>
      <c r="B63" s="1">
        <v>3.113</v>
      </c>
    </row>
    <row r="64" spans="1:2" x14ac:dyDescent="0.3">
      <c r="A64" s="1" t="s">
        <v>28</v>
      </c>
      <c r="B64" s="1">
        <v>3.016</v>
      </c>
    </row>
    <row r="65" spans="1:2" x14ac:dyDescent="0.3">
      <c r="A65" s="1" t="s">
        <v>45</v>
      </c>
      <c r="B65" s="1">
        <v>2.673</v>
      </c>
    </row>
    <row r="66" spans="1:2" x14ac:dyDescent="0.3">
      <c r="A66" s="1" t="s">
        <v>68</v>
      </c>
      <c r="B66" s="1">
        <v>2.5870000000000002</v>
      </c>
    </row>
    <row r="67" spans="1:2" x14ac:dyDescent="0.3">
      <c r="A67" s="1" t="s">
        <v>80</v>
      </c>
      <c r="B67" s="1">
        <v>2.2509999999999999</v>
      </c>
    </row>
    <row r="68" spans="1:2" x14ac:dyDescent="0.3">
      <c r="A68" s="1" t="s">
        <v>51</v>
      </c>
      <c r="B68" s="1">
        <v>2.036</v>
      </c>
    </row>
  </sheetData>
  <sortState xmlns:xlrd2="http://schemas.microsoft.com/office/spreadsheetml/2017/richdata2" ref="D2:E68">
    <sortCondition descending="1" ref="E2:E68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8EE0-ECDE-4D15-8AE2-07E0C35B1425}">
  <dimension ref="A1:B68"/>
  <sheetViews>
    <sheetView workbookViewId="0">
      <selection activeCell="F17" sqref="F17"/>
    </sheetView>
  </sheetViews>
  <sheetFormatPr defaultRowHeight="14.4" x14ac:dyDescent="0.3"/>
  <cols>
    <col min="1" max="1" width="15.33203125" bestFit="1" customWidth="1"/>
  </cols>
  <sheetData>
    <row r="1" spans="1:2" x14ac:dyDescent="0.3">
      <c r="A1" s="1" t="s">
        <v>83</v>
      </c>
      <c r="B1" s="1" t="s">
        <v>82</v>
      </c>
    </row>
    <row r="2" spans="1:2" x14ac:dyDescent="0.3">
      <c r="A2" s="1" t="s">
        <v>66</v>
      </c>
      <c r="B2" s="1">
        <v>27.911000000000001</v>
      </c>
    </row>
    <row r="3" spans="1:2" x14ac:dyDescent="0.3">
      <c r="A3" s="1" t="s">
        <v>55</v>
      </c>
      <c r="B3" s="1">
        <v>24.018000000000001</v>
      </c>
    </row>
    <row r="4" spans="1:2" x14ac:dyDescent="0.3">
      <c r="A4" s="1" t="s">
        <v>61</v>
      </c>
      <c r="B4" s="1">
        <v>23.808</v>
      </c>
    </row>
    <row r="5" spans="1:2" x14ac:dyDescent="0.3">
      <c r="A5" s="1" t="s">
        <v>62</v>
      </c>
      <c r="B5" s="1">
        <v>22.641999999999999</v>
      </c>
    </row>
    <row r="6" spans="1:2" x14ac:dyDescent="0.3">
      <c r="A6" s="1" t="s">
        <v>30</v>
      </c>
      <c r="B6" s="1">
        <v>21.754999999999999</v>
      </c>
    </row>
    <row r="7" spans="1:2" x14ac:dyDescent="0.3">
      <c r="A7" s="1" t="s">
        <v>22</v>
      </c>
      <c r="B7" s="1">
        <v>20.687999999999999</v>
      </c>
    </row>
    <row r="8" spans="1:2" x14ac:dyDescent="0.3">
      <c r="A8" s="1" t="s">
        <v>43</v>
      </c>
      <c r="B8" s="1">
        <v>20.065000000000001</v>
      </c>
    </row>
    <row r="9" spans="1:2" x14ac:dyDescent="0.3">
      <c r="A9" s="1" t="s">
        <v>72</v>
      </c>
      <c r="B9" s="1">
        <v>19.638999999999999</v>
      </c>
    </row>
    <row r="10" spans="1:2" x14ac:dyDescent="0.3">
      <c r="A10" s="1" t="s">
        <v>14</v>
      </c>
      <c r="B10" s="1">
        <v>19.495999999999999</v>
      </c>
    </row>
    <row r="11" spans="1:2" x14ac:dyDescent="0.3">
      <c r="A11" s="1" t="s">
        <v>33</v>
      </c>
      <c r="B11" s="1">
        <v>18.103999999999999</v>
      </c>
    </row>
    <row r="12" spans="1:2" x14ac:dyDescent="0.3">
      <c r="A12" s="1" t="s">
        <v>49</v>
      </c>
      <c r="B12" s="1">
        <v>17.824999999999999</v>
      </c>
    </row>
    <row r="13" spans="1:2" x14ac:dyDescent="0.3">
      <c r="A13" s="1" t="s">
        <v>23</v>
      </c>
      <c r="B13" s="1">
        <v>17.359000000000002</v>
      </c>
    </row>
    <row r="14" spans="1:2" x14ac:dyDescent="0.3">
      <c r="A14" s="1" t="s">
        <v>71</v>
      </c>
      <c r="B14" s="1">
        <v>16.872</v>
      </c>
    </row>
    <row r="15" spans="1:2" x14ac:dyDescent="0.3">
      <c r="A15" s="1" t="s">
        <v>50</v>
      </c>
      <c r="B15" s="1">
        <v>16.706</v>
      </c>
    </row>
    <row r="16" spans="1:2" x14ac:dyDescent="0.3">
      <c r="A16" s="1" t="s">
        <v>32</v>
      </c>
      <c r="B16" s="1">
        <v>16.477</v>
      </c>
    </row>
    <row r="17" spans="1:2" x14ac:dyDescent="0.3">
      <c r="A17" s="1" t="s">
        <v>18</v>
      </c>
      <c r="B17" s="1">
        <v>15.946999999999999</v>
      </c>
    </row>
    <row r="18" spans="1:2" x14ac:dyDescent="0.3">
      <c r="A18" s="1" t="s">
        <v>25</v>
      </c>
      <c r="B18" s="1">
        <v>15.930999999999999</v>
      </c>
    </row>
    <row r="19" spans="1:2" x14ac:dyDescent="0.3">
      <c r="A19" s="1" t="s">
        <v>58</v>
      </c>
      <c r="B19" s="1">
        <v>15.789</v>
      </c>
    </row>
    <row r="20" spans="1:2" x14ac:dyDescent="0.3">
      <c r="A20" s="1" t="s">
        <v>73</v>
      </c>
      <c r="B20" s="1">
        <v>15.65</v>
      </c>
    </row>
    <row r="21" spans="1:2" x14ac:dyDescent="0.3">
      <c r="A21" s="1" t="s">
        <v>56</v>
      </c>
      <c r="B21" s="1">
        <v>15.154</v>
      </c>
    </row>
    <row r="22" spans="1:2" x14ac:dyDescent="0.3">
      <c r="A22" s="1" t="s">
        <v>24</v>
      </c>
      <c r="B22" s="1">
        <v>15.148</v>
      </c>
    </row>
    <row r="23" spans="1:2" x14ac:dyDescent="0.3">
      <c r="A23" s="1" t="s">
        <v>57</v>
      </c>
      <c r="B23" s="1">
        <v>14.987</v>
      </c>
    </row>
    <row r="24" spans="1:2" x14ac:dyDescent="0.3">
      <c r="A24" s="1" t="s">
        <v>16</v>
      </c>
      <c r="B24" s="1">
        <v>14.862</v>
      </c>
    </row>
    <row r="25" spans="1:2" x14ac:dyDescent="0.3">
      <c r="A25" s="1" t="s">
        <v>26</v>
      </c>
      <c r="B25" s="1">
        <v>14.689</v>
      </c>
    </row>
    <row r="26" spans="1:2" x14ac:dyDescent="0.3">
      <c r="A26" s="1" t="s">
        <v>74</v>
      </c>
      <c r="B26" s="1">
        <v>14.224</v>
      </c>
    </row>
    <row r="27" spans="1:2" x14ac:dyDescent="0.3">
      <c r="A27" s="1" t="s">
        <v>35</v>
      </c>
      <c r="B27" s="1">
        <v>13.948</v>
      </c>
    </row>
    <row r="28" spans="1:2" x14ac:dyDescent="0.3">
      <c r="A28" s="1" t="s">
        <v>47</v>
      </c>
      <c r="B28" s="1">
        <v>13.618</v>
      </c>
    </row>
    <row r="29" spans="1:2" x14ac:dyDescent="0.3">
      <c r="A29" s="1" t="s">
        <v>44</v>
      </c>
      <c r="B29" s="1">
        <v>13.422000000000001</v>
      </c>
    </row>
    <row r="30" spans="1:2" x14ac:dyDescent="0.3">
      <c r="A30" s="1" t="s">
        <v>54</v>
      </c>
      <c r="B30" s="1">
        <v>13.27</v>
      </c>
    </row>
    <row r="31" spans="1:2" x14ac:dyDescent="0.3">
      <c r="A31" s="1" t="s">
        <v>70</v>
      </c>
      <c r="B31" s="1">
        <v>12.938000000000001</v>
      </c>
    </row>
    <row r="32" spans="1:2" x14ac:dyDescent="0.3">
      <c r="A32" s="1" t="s">
        <v>40</v>
      </c>
      <c r="B32" s="1">
        <v>12.930999999999999</v>
      </c>
    </row>
    <row r="33" spans="1:2" x14ac:dyDescent="0.3">
      <c r="A33" s="1" t="s">
        <v>42</v>
      </c>
      <c r="B33" s="1">
        <v>12.882999999999999</v>
      </c>
    </row>
    <row r="34" spans="1:2" x14ac:dyDescent="0.3">
      <c r="A34" s="1" t="s">
        <v>34</v>
      </c>
      <c r="B34" s="1">
        <v>12.757</v>
      </c>
    </row>
    <row r="35" spans="1:2" x14ac:dyDescent="0.3">
      <c r="A35" s="1" t="s">
        <v>48</v>
      </c>
      <c r="B35" s="1">
        <v>12.526999999999999</v>
      </c>
    </row>
    <row r="36" spans="1:2" x14ac:dyDescent="0.3">
      <c r="A36" s="1" t="s">
        <v>17</v>
      </c>
      <c r="B36" s="1">
        <v>12.331</v>
      </c>
    </row>
    <row r="37" spans="1:2" x14ac:dyDescent="0.3">
      <c r="A37" s="1" t="s">
        <v>38</v>
      </c>
      <c r="B37" s="1">
        <v>11.974</v>
      </c>
    </row>
    <row r="38" spans="1:2" x14ac:dyDescent="0.3">
      <c r="A38" s="1" t="s">
        <v>77</v>
      </c>
      <c r="B38" s="1">
        <v>11.938000000000001</v>
      </c>
    </row>
    <row r="39" spans="1:2" x14ac:dyDescent="0.3">
      <c r="A39" s="1" t="s">
        <v>64</v>
      </c>
      <c r="B39" s="1">
        <v>11.846</v>
      </c>
    </row>
    <row r="40" spans="1:2" x14ac:dyDescent="0.3">
      <c r="A40" s="1" t="s">
        <v>78</v>
      </c>
      <c r="B40" s="1">
        <v>11.763</v>
      </c>
    </row>
    <row r="41" spans="1:2" x14ac:dyDescent="0.3">
      <c r="A41" s="1" t="s">
        <v>46</v>
      </c>
      <c r="B41" s="1">
        <v>11.596</v>
      </c>
    </row>
    <row r="42" spans="1:2" x14ac:dyDescent="0.3">
      <c r="A42" s="1" t="s">
        <v>52</v>
      </c>
      <c r="B42" s="1">
        <v>11.569000000000001</v>
      </c>
    </row>
    <row r="43" spans="1:2" x14ac:dyDescent="0.3">
      <c r="A43" s="1" t="s">
        <v>67</v>
      </c>
      <c r="B43" s="1">
        <v>11.45</v>
      </c>
    </row>
    <row r="44" spans="1:2" x14ac:dyDescent="0.3">
      <c r="A44" s="1" t="s">
        <v>37</v>
      </c>
      <c r="B44" s="1">
        <v>11.38</v>
      </c>
    </row>
    <row r="45" spans="1:2" x14ac:dyDescent="0.3">
      <c r="A45" s="1" t="s">
        <v>27</v>
      </c>
      <c r="B45" s="1">
        <v>11.135</v>
      </c>
    </row>
    <row r="46" spans="1:2" x14ac:dyDescent="0.3">
      <c r="A46" s="1" t="s">
        <v>15</v>
      </c>
      <c r="B46" s="1">
        <v>10.817</v>
      </c>
    </row>
    <row r="47" spans="1:2" x14ac:dyDescent="0.3">
      <c r="A47" s="1" t="s">
        <v>69</v>
      </c>
      <c r="B47" s="1">
        <v>10.711</v>
      </c>
    </row>
    <row r="48" spans="1:2" x14ac:dyDescent="0.3">
      <c r="A48" s="1" t="s">
        <v>79</v>
      </c>
      <c r="B48" s="1">
        <v>10.641999999999999</v>
      </c>
    </row>
    <row r="49" spans="1:2" x14ac:dyDescent="0.3">
      <c r="A49" s="1" t="s">
        <v>31</v>
      </c>
      <c r="B49" s="1">
        <v>10.584</v>
      </c>
    </row>
    <row r="50" spans="1:2" x14ac:dyDescent="0.3">
      <c r="A50" s="1" t="s">
        <v>39</v>
      </c>
      <c r="B50" s="1">
        <v>10.381</v>
      </c>
    </row>
    <row r="51" spans="1:2" x14ac:dyDescent="0.3">
      <c r="A51" s="1" t="s">
        <v>36</v>
      </c>
      <c r="B51" s="1">
        <v>10.169</v>
      </c>
    </row>
    <row r="52" spans="1:2" x14ac:dyDescent="0.3">
      <c r="A52" s="1" t="s">
        <v>63</v>
      </c>
      <c r="B52" s="1">
        <v>9.3889999999999993</v>
      </c>
    </row>
    <row r="53" spans="1:2" x14ac:dyDescent="0.3">
      <c r="A53" s="1" t="s">
        <v>19</v>
      </c>
      <c r="B53" s="1">
        <v>9.3239999999999998</v>
      </c>
    </row>
    <row r="54" spans="1:2" x14ac:dyDescent="0.3">
      <c r="A54" s="1" t="s">
        <v>29</v>
      </c>
      <c r="B54" s="1">
        <v>8.6509999999999998</v>
      </c>
    </row>
    <row r="55" spans="1:2" x14ac:dyDescent="0.3">
      <c r="A55" s="1" t="s">
        <v>20</v>
      </c>
      <c r="B55" s="1">
        <v>8.6189999999999998</v>
      </c>
    </row>
    <row r="56" spans="1:2" x14ac:dyDescent="0.3">
      <c r="A56" s="1" t="s">
        <v>75</v>
      </c>
      <c r="B56" s="1">
        <v>8.2330000000000005</v>
      </c>
    </row>
    <row r="57" spans="1:2" x14ac:dyDescent="0.3">
      <c r="A57" s="1" t="s">
        <v>59</v>
      </c>
      <c r="B57" s="1">
        <v>7.96</v>
      </c>
    </row>
    <row r="58" spans="1:2" x14ac:dyDescent="0.3">
      <c r="A58" s="1" t="s">
        <v>41</v>
      </c>
      <c r="B58" s="1">
        <v>7.907</v>
      </c>
    </row>
    <row r="59" spans="1:2" x14ac:dyDescent="0.3">
      <c r="A59" s="1" t="s">
        <v>60</v>
      </c>
      <c r="B59" s="1">
        <v>7.3819999999999997</v>
      </c>
    </row>
    <row r="60" spans="1:2" x14ac:dyDescent="0.3">
      <c r="A60" s="1" t="s">
        <v>68</v>
      </c>
      <c r="B60" s="1">
        <v>7.2140000000000004</v>
      </c>
    </row>
    <row r="61" spans="1:2" x14ac:dyDescent="0.3">
      <c r="A61" s="1" t="s">
        <v>76</v>
      </c>
      <c r="B61" s="1">
        <v>7.21</v>
      </c>
    </row>
    <row r="62" spans="1:2" x14ac:dyDescent="0.3">
      <c r="A62" s="1" t="s">
        <v>28</v>
      </c>
      <c r="B62" s="1">
        <v>6.6980000000000004</v>
      </c>
    </row>
    <row r="63" spans="1:2" x14ac:dyDescent="0.3">
      <c r="A63" s="1" t="s">
        <v>53</v>
      </c>
      <c r="B63" s="1">
        <v>6.2830000000000004</v>
      </c>
    </row>
    <row r="64" spans="1:2" x14ac:dyDescent="0.3">
      <c r="A64" s="1" t="s">
        <v>51</v>
      </c>
      <c r="B64" s="1">
        <v>6.2190000000000003</v>
      </c>
    </row>
    <row r="65" spans="1:2" x14ac:dyDescent="0.3">
      <c r="A65" s="1" t="s">
        <v>45</v>
      </c>
      <c r="B65" s="1">
        <v>5.9290000000000003</v>
      </c>
    </row>
    <row r="66" spans="1:2" x14ac:dyDescent="0.3">
      <c r="A66" s="1" t="s">
        <v>21</v>
      </c>
      <c r="B66" s="1">
        <v>5.5229999999999997</v>
      </c>
    </row>
    <row r="67" spans="1:2" x14ac:dyDescent="0.3">
      <c r="A67" s="1" t="s">
        <v>65</v>
      </c>
      <c r="B67" s="1">
        <v>5.0019999999999998</v>
      </c>
    </row>
    <row r="68" spans="1:2" x14ac:dyDescent="0.3">
      <c r="A68" s="1" t="s">
        <v>80</v>
      </c>
      <c r="B68" s="1">
        <v>1.59</v>
      </c>
    </row>
  </sheetData>
  <sortState xmlns:xlrd2="http://schemas.microsoft.com/office/spreadsheetml/2017/richdata2" ref="D2:E68">
    <sortCondition descending="1" ref="E2:E68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572F-BF19-4E79-B882-2004C55321A8}">
  <dimension ref="A1:BP7"/>
  <sheetViews>
    <sheetView workbookViewId="0">
      <selection activeCell="A13" sqref="A13"/>
    </sheetView>
  </sheetViews>
  <sheetFormatPr defaultRowHeight="14.4" x14ac:dyDescent="0.3"/>
  <cols>
    <col min="1" max="1" width="12.5546875" bestFit="1" customWidth="1"/>
  </cols>
  <sheetData>
    <row r="1" spans="1:68" x14ac:dyDescent="0.3">
      <c r="A1" s="1" t="s">
        <v>85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</row>
    <row r="2" spans="1:68" x14ac:dyDescent="0.3">
      <c r="A2" s="1" t="s">
        <v>86</v>
      </c>
      <c r="B2" s="1">
        <v>1.526</v>
      </c>
      <c r="C2" s="1">
        <v>5.4390000000000001</v>
      </c>
      <c r="D2" s="1">
        <v>7.2309999999999999</v>
      </c>
      <c r="E2" s="1">
        <v>2.7</v>
      </c>
      <c r="F2" s="1">
        <v>6.649</v>
      </c>
      <c r="G2" s="1">
        <v>2.8820000000000001</v>
      </c>
      <c r="H2" s="1">
        <v>2.5939999999999999</v>
      </c>
      <c r="I2" s="1">
        <v>1.899</v>
      </c>
      <c r="J2" s="1">
        <v>8.3650000000000002</v>
      </c>
      <c r="K2" s="1">
        <v>6.0739999999999998</v>
      </c>
      <c r="L2" s="1">
        <v>3.6080000000000001</v>
      </c>
      <c r="M2" s="1">
        <v>4.4029999999999996</v>
      </c>
      <c r="N2" s="1">
        <v>6.4039999999999999</v>
      </c>
      <c r="O2" s="1">
        <v>4.3369999999999997</v>
      </c>
      <c r="P2" s="1">
        <v>1.8839999999999999</v>
      </c>
      <c r="Q2" s="1">
        <v>7.6509999999999998</v>
      </c>
      <c r="R2" s="1">
        <v>5.3819999999999997</v>
      </c>
      <c r="S2" s="1">
        <v>6.6740000000000004</v>
      </c>
      <c r="T2" s="1">
        <v>7.1020000000000003</v>
      </c>
      <c r="U2" s="1">
        <v>5.22</v>
      </c>
      <c r="V2" s="1">
        <v>2.1920000000000002</v>
      </c>
      <c r="W2" s="1">
        <v>3.7280000000000002</v>
      </c>
      <c r="X2" s="1">
        <v>3.274</v>
      </c>
      <c r="Y2" s="1">
        <v>3.3119999999999998</v>
      </c>
      <c r="Z2" s="1">
        <v>3.851</v>
      </c>
      <c r="AA2" s="1">
        <v>2.2109999999999999</v>
      </c>
      <c r="AB2" s="1">
        <v>6.1310000000000002</v>
      </c>
      <c r="AC2" s="1">
        <v>3.7250000000000001</v>
      </c>
      <c r="AD2" s="1">
        <v>2.6579999999999999</v>
      </c>
      <c r="AE2" s="1">
        <v>6.6660000000000004</v>
      </c>
      <c r="AF2" s="1">
        <v>9.9480000000000004</v>
      </c>
      <c r="AG2" s="1">
        <v>3.379</v>
      </c>
      <c r="AH2" s="1">
        <v>3.153</v>
      </c>
      <c r="AI2" s="1">
        <v>3.919</v>
      </c>
      <c r="AJ2" s="1">
        <v>8.3130000000000006</v>
      </c>
      <c r="AK2" s="1">
        <v>4.8380000000000001</v>
      </c>
      <c r="AL2" s="1">
        <v>6.3</v>
      </c>
      <c r="AM2" s="1">
        <v>1.9930000000000001</v>
      </c>
      <c r="AN2" s="1">
        <v>6.5529999999999999</v>
      </c>
      <c r="AO2" s="1">
        <v>1.1419999999999999</v>
      </c>
      <c r="AP2" s="1">
        <v>3.1179999999999999</v>
      </c>
      <c r="AQ2" s="1">
        <v>3.3769999999999998</v>
      </c>
      <c r="AR2" s="1">
        <v>5.2359999999999998</v>
      </c>
      <c r="AS2" s="1">
        <v>3.391</v>
      </c>
      <c r="AT2" s="1">
        <v>3.2320000000000002</v>
      </c>
      <c r="AU2" s="1">
        <v>6.35</v>
      </c>
      <c r="AV2" s="1">
        <v>11.145</v>
      </c>
      <c r="AW2" s="1">
        <v>7.0670000000000002</v>
      </c>
      <c r="AX2" s="1">
        <v>1.4710000000000001</v>
      </c>
      <c r="AY2" s="1">
        <v>2.617</v>
      </c>
      <c r="AZ2" s="1">
        <v>2.6859999999999999</v>
      </c>
      <c r="BA2" s="1">
        <v>4.1550000000000002</v>
      </c>
      <c r="BB2" s="1">
        <v>5.2039999999999997</v>
      </c>
      <c r="BC2" s="1">
        <v>3.1160000000000001</v>
      </c>
      <c r="BD2" s="1">
        <v>5.4539999999999997</v>
      </c>
      <c r="BE2" s="1">
        <v>5.7510000000000003</v>
      </c>
      <c r="BF2" s="1">
        <v>3.6469999999999998</v>
      </c>
      <c r="BG2" s="1">
        <v>5.9320000000000004</v>
      </c>
      <c r="BH2" s="1">
        <v>7.1680000000000001</v>
      </c>
      <c r="BI2" s="1">
        <v>4.9089999999999998</v>
      </c>
      <c r="BJ2" s="1">
        <v>4.8220000000000001</v>
      </c>
      <c r="BK2" s="1">
        <v>5.5659999999999998</v>
      </c>
      <c r="BL2" s="1">
        <v>1.827</v>
      </c>
      <c r="BM2" s="1">
        <v>2.5569999999999999</v>
      </c>
      <c r="BN2" s="1">
        <v>5.7770000000000001</v>
      </c>
      <c r="BO2" s="1">
        <v>5.6479999999999997</v>
      </c>
      <c r="BP2" s="1">
        <v>2.5110000000000001</v>
      </c>
    </row>
    <row r="3" spans="1:68" x14ac:dyDescent="0.3">
      <c r="A3" s="1" t="s">
        <v>87</v>
      </c>
      <c r="B3" s="1">
        <v>10.797000000000001</v>
      </c>
      <c r="C3" s="1">
        <v>11.676</v>
      </c>
      <c r="D3" s="1">
        <v>7.532</v>
      </c>
      <c r="E3" s="1">
        <v>3.53</v>
      </c>
      <c r="F3" s="1">
        <v>10.005000000000001</v>
      </c>
      <c r="G3" s="1">
        <v>7.0140000000000002</v>
      </c>
      <c r="H3" s="1">
        <v>6.2629999999999999</v>
      </c>
      <c r="I3" s="1">
        <v>5.5990000000000002</v>
      </c>
      <c r="J3" s="1">
        <v>7.9180000000000001</v>
      </c>
      <c r="K3" s="1">
        <v>6.827</v>
      </c>
      <c r="L3" s="1">
        <v>7.1219999999999999</v>
      </c>
      <c r="M3" s="1">
        <v>8.8420000000000005</v>
      </c>
      <c r="N3" s="1">
        <v>6.55</v>
      </c>
      <c r="O3" s="1">
        <v>6.7119999999999997</v>
      </c>
      <c r="P3" s="1">
        <v>4.9930000000000003</v>
      </c>
      <c r="Q3" s="1">
        <v>5.617</v>
      </c>
      <c r="R3" s="1">
        <v>5.8029999999999999</v>
      </c>
      <c r="S3" s="1">
        <v>7.25</v>
      </c>
      <c r="T3" s="1">
        <v>6.4489999999999998</v>
      </c>
      <c r="U3" s="1">
        <v>5.242</v>
      </c>
      <c r="V3" s="1">
        <v>5.2320000000000002</v>
      </c>
      <c r="W3" s="1">
        <v>7.3540000000000001</v>
      </c>
      <c r="X3" s="1">
        <v>5.0730000000000004</v>
      </c>
      <c r="Y3" s="1">
        <v>5.8289999999999997</v>
      </c>
      <c r="Z3" s="1">
        <v>5.6070000000000002</v>
      </c>
      <c r="AA3" s="1">
        <v>5.383</v>
      </c>
      <c r="AB3" s="1">
        <v>5.4649999999999999</v>
      </c>
      <c r="AC3" s="1">
        <v>6.1269999999999998</v>
      </c>
      <c r="AD3" s="1">
        <v>6.0540000000000003</v>
      </c>
      <c r="AE3" s="1">
        <v>13.847</v>
      </c>
      <c r="AF3" s="1">
        <v>10.625999999999999</v>
      </c>
      <c r="AG3" s="1">
        <v>5.6580000000000004</v>
      </c>
      <c r="AH3" s="1">
        <v>5.6719999999999997</v>
      </c>
      <c r="AI3" s="1">
        <v>6.1230000000000002</v>
      </c>
      <c r="AJ3" s="1">
        <v>5.63</v>
      </c>
      <c r="AK3" s="1">
        <v>4.57</v>
      </c>
      <c r="AL3" s="1">
        <v>9.3970000000000002</v>
      </c>
      <c r="AM3" s="1">
        <v>6.5039999999999996</v>
      </c>
      <c r="AN3" s="1">
        <v>5.0030000000000001</v>
      </c>
      <c r="AO3" s="1">
        <v>5.0730000000000004</v>
      </c>
      <c r="AP3" s="1">
        <v>6.665</v>
      </c>
      <c r="AQ3" s="1">
        <v>6.6159999999999997</v>
      </c>
      <c r="AR3" s="1">
        <v>6.4269999999999996</v>
      </c>
      <c r="AS3" s="1">
        <v>5.05</v>
      </c>
      <c r="AT3" s="1">
        <v>7.181</v>
      </c>
      <c r="AU3" s="1">
        <v>6.7629999999999999</v>
      </c>
      <c r="AV3" s="1">
        <v>7.8929999999999998</v>
      </c>
      <c r="AW3" s="1">
        <v>8.0960000000000001</v>
      </c>
      <c r="AX3" s="1">
        <v>3.0859999999999999</v>
      </c>
      <c r="AY3" s="1">
        <v>6.2060000000000004</v>
      </c>
      <c r="AZ3" s="1">
        <v>6.1779999999999999</v>
      </c>
      <c r="BA3" s="1">
        <v>5.8410000000000002</v>
      </c>
      <c r="BB3" s="1">
        <v>12.407999999999999</v>
      </c>
      <c r="BC3" s="1">
        <v>5.3319999999999999</v>
      </c>
      <c r="BD3" s="1">
        <v>10.457000000000001</v>
      </c>
      <c r="BE3" s="1">
        <v>5.149</v>
      </c>
      <c r="BF3" s="1">
        <v>10.366</v>
      </c>
      <c r="BG3" s="1">
        <v>4.8849999999999998</v>
      </c>
      <c r="BH3" s="1">
        <v>5.7060000000000004</v>
      </c>
      <c r="BI3" s="1">
        <v>8.4510000000000005</v>
      </c>
      <c r="BJ3" s="1">
        <v>5.2759999999999998</v>
      </c>
      <c r="BK3" s="1">
        <v>6.6849999999999996</v>
      </c>
      <c r="BL3" s="1">
        <v>5.82</v>
      </c>
      <c r="BM3" s="1">
        <v>8.2780000000000005</v>
      </c>
      <c r="BN3" s="1">
        <v>6.62</v>
      </c>
      <c r="BO3" s="1">
        <v>6.7389999999999999</v>
      </c>
      <c r="BP3" s="1">
        <v>1.083</v>
      </c>
    </row>
    <row r="4" spans="1:68" x14ac:dyDescent="0.3">
      <c r="A4" s="1" t="s">
        <v>88</v>
      </c>
      <c r="B4" s="1">
        <v>8.4420000000000002</v>
      </c>
      <c r="C4" s="1">
        <v>8.5399999999999991</v>
      </c>
      <c r="D4" s="1">
        <v>6.3719999999999999</v>
      </c>
      <c r="E4" s="1">
        <v>1.1439999999999999</v>
      </c>
      <c r="F4" s="1">
        <v>7.3090000000000002</v>
      </c>
      <c r="G4" s="1">
        <v>4.8579999999999997</v>
      </c>
      <c r="H4" s="1">
        <v>8.4090000000000007</v>
      </c>
      <c r="I4" s="1">
        <v>2.7669999999999999</v>
      </c>
      <c r="J4" s="1">
        <v>11.374000000000001</v>
      </c>
      <c r="K4" s="1">
        <v>8.3780000000000001</v>
      </c>
      <c r="L4" s="1">
        <v>6.2859999999999996</v>
      </c>
      <c r="M4" s="1">
        <v>14.414999999999999</v>
      </c>
      <c r="N4" s="1">
        <v>11.262</v>
      </c>
      <c r="O4" s="1">
        <v>5.5430000000000001</v>
      </c>
      <c r="P4" s="1">
        <v>4.0529999999999999</v>
      </c>
      <c r="Q4" s="1">
        <v>6.4589999999999996</v>
      </c>
      <c r="R4" s="1">
        <v>8.798</v>
      </c>
      <c r="S4" s="1">
        <v>7.85</v>
      </c>
      <c r="T4" s="1">
        <v>10.090999999999999</v>
      </c>
      <c r="U4" s="1">
        <v>5.69</v>
      </c>
      <c r="V4" s="1">
        <v>1.462</v>
      </c>
      <c r="W4" s="1">
        <v>11.353999999999999</v>
      </c>
      <c r="X4" s="1">
        <v>4.8879999999999999</v>
      </c>
      <c r="Y4" s="1">
        <v>6.6520000000000001</v>
      </c>
      <c r="Z4" s="1">
        <v>5.91</v>
      </c>
      <c r="AA4" s="1">
        <v>5.1849999999999996</v>
      </c>
      <c r="AB4" s="1">
        <v>6.5670000000000002</v>
      </c>
      <c r="AC4" s="1">
        <v>1.8879999999999999</v>
      </c>
      <c r="AD4" s="1">
        <v>7.9249999999999998</v>
      </c>
      <c r="AE4" s="1">
        <v>7.9059999999999997</v>
      </c>
      <c r="AF4" s="1">
        <v>16.053999999999998</v>
      </c>
      <c r="AG4" s="1">
        <v>7.17</v>
      </c>
      <c r="AH4" s="1">
        <v>3.327</v>
      </c>
      <c r="AI4" s="1">
        <v>6.0919999999999996</v>
      </c>
      <c r="AJ4" s="1">
        <v>7.7089999999999996</v>
      </c>
      <c r="AK4" s="1">
        <v>1.865</v>
      </c>
      <c r="AL4" s="1">
        <v>7.8760000000000003</v>
      </c>
      <c r="AM4" s="1">
        <v>3.117</v>
      </c>
      <c r="AN4" s="1">
        <v>9.0850000000000009</v>
      </c>
      <c r="AO4" s="1">
        <v>4.1459999999999999</v>
      </c>
      <c r="AP4" s="1">
        <v>12.092000000000001</v>
      </c>
      <c r="AQ4" s="1">
        <v>1.998</v>
      </c>
      <c r="AR4" s="1">
        <v>6.4690000000000003</v>
      </c>
      <c r="AS4" s="1">
        <v>6.2750000000000004</v>
      </c>
      <c r="AT4" s="1">
        <v>8.625</v>
      </c>
      <c r="AU4" s="1">
        <v>8.4120000000000008</v>
      </c>
      <c r="AV4" s="1">
        <v>8.7550000000000008</v>
      </c>
      <c r="AW4" s="1">
        <v>9.5</v>
      </c>
      <c r="AX4" s="1">
        <v>4.2329999999999997</v>
      </c>
      <c r="AY4" s="1">
        <v>7.9029999999999996</v>
      </c>
      <c r="AZ4" s="1">
        <v>8.0860000000000003</v>
      </c>
      <c r="BA4" s="1">
        <v>2.94</v>
      </c>
      <c r="BB4" s="1">
        <v>10.406000000000001</v>
      </c>
      <c r="BC4" s="1">
        <v>-0.71199999999999997</v>
      </c>
      <c r="BD4" s="1">
        <v>7.6639999999999997</v>
      </c>
      <c r="BE4" s="1">
        <v>4.617</v>
      </c>
      <c r="BF4" s="1">
        <v>6.3109999999999999</v>
      </c>
      <c r="BG4" s="1">
        <v>4.0229999999999997</v>
      </c>
      <c r="BH4" s="1">
        <v>10</v>
      </c>
      <c r="BI4" s="1">
        <v>10.207000000000001</v>
      </c>
      <c r="BJ4" s="1">
        <v>4.7039999999999997</v>
      </c>
      <c r="BK4" s="1">
        <v>3.7589999999999999</v>
      </c>
      <c r="BL4" s="1">
        <v>3.0659999999999998</v>
      </c>
      <c r="BM4" s="1">
        <v>6.7839999999999998</v>
      </c>
      <c r="BN4" s="1">
        <v>4.5209999999999999</v>
      </c>
      <c r="BO4" s="1">
        <v>6.9560000000000004</v>
      </c>
      <c r="BP4" s="1">
        <v>1.78</v>
      </c>
    </row>
    <row r="5" spans="1:68" x14ac:dyDescent="0.3">
      <c r="A5" s="1" t="s">
        <v>89</v>
      </c>
      <c r="B5" s="1">
        <v>5.9050000000000002</v>
      </c>
      <c r="C5" s="1">
        <v>1.927</v>
      </c>
      <c r="D5" s="1">
        <v>5.8410000000000002</v>
      </c>
      <c r="E5" s="1">
        <v>8.25</v>
      </c>
      <c r="F5" s="1">
        <v>6.992</v>
      </c>
      <c r="G5" s="1">
        <v>3.4569999999999999</v>
      </c>
      <c r="H5" s="1">
        <v>2.7709999999999999</v>
      </c>
      <c r="I5" s="1">
        <v>1.9530000000000001</v>
      </c>
      <c r="J5" s="1">
        <v>11.071</v>
      </c>
      <c r="K5" s="1">
        <v>6.1319999999999997</v>
      </c>
      <c r="L5" s="1">
        <v>7.431</v>
      </c>
      <c r="M5" s="1">
        <v>5.9119999999999999</v>
      </c>
      <c r="N5" s="1">
        <v>2.2509999999999999</v>
      </c>
      <c r="O5" s="1">
        <v>3.0409999999999999</v>
      </c>
      <c r="P5" s="1">
        <v>2.2959999999999998</v>
      </c>
      <c r="Q5" s="1">
        <v>2.4460000000000002</v>
      </c>
      <c r="R5" s="1">
        <v>9.8620000000000001</v>
      </c>
      <c r="S5" s="1">
        <v>3.8530000000000002</v>
      </c>
      <c r="T5" s="1">
        <v>5.234</v>
      </c>
      <c r="U5" s="1">
        <v>8.5419999999999998</v>
      </c>
      <c r="V5" s="1">
        <v>5.944</v>
      </c>
      <c r="W5" s="1">
        <v>2.3820000000000001</v>
      </c>
      <c r="X5" s="1">
        <v>5.53</v>
      </c>
      <c r="Y5" s="1">
        <v>3.65</v>
      </c>
      <c r="Z5" s="1">
        <v>3.3290000000000002</v>
      </c>
      <c r="AA5" s="1">
        <v>4.1980000000000004</v>
      </c>
      <c r="AB5" s="1">
        <v>5.3769999999999998</v>
      </c>
      <c r="AC5" s="1">
        <v>2.5990000000000002</v>
      </c>
      <c r="AD5" s="1">
        <v>3.488</v>
      </c>
      <c r="AE5" s="1">
        <v>3.4729999999999999</v>
      </c>
      <c r="AF5" s="1">
        <v>2.774</v>
      </c>
      <c r="AG5" s="1">
        <v>0.92</v>
      </c>
      <c r="AH5" s="1">
        <v>5.4980000000000002</v>
      </c>
      <c r="AI5" s="1">
        <v>2.7360000000000002</v>
      </c>
      <c r="AJ5" s="1">
        <v>2.7450000000000001</v>
      </c>
      <c r="AK5" s="1">
        <v>9.157</v>
      </c>
      <c r="AL5" s="1">
        <v>3.7959999999999998</v>
      </c>
      <c r="AM5" s="1">
        <v>1.415</v>
      </c>
      <c r="AN5" s="1">
        <v>3.145</v>
      </c>
      <c r="AO5" s="1">
        <v>3.077</v>
      </c>
      <c r="AP5" s="1">
        <v>2.6269999999999998</v>
      </c>
      <c r="AQ5" s="1">
        <v>13.4</v>
      </c>
      <c r="AR5" s="1">
        <v>4.2</v>
      </c>
      <c r="AS5" s="1">
        <v>4.8369999999999997</v>
      </c>
      <c r="AT5" s="1">
        <v>5.125</v>
      </c>
      <c r="AU5" s="1">
        <v>1.046</v>
      </c>
      <c r="AV5" s="1">
        <v>1.9570000000000001</v>
      </c>
      <c r="AW5" s="1">
        <v>12.489000000000001</v>
      </c>
      <c r="AX5" s="1">
        <v>13.968</v>
      </c>
      <c r="AY5" s="1">
        <v>3.2090000000000001</v>
      </c>
      <c r="AZ5" s="1">
        <v>4.1449999999999996</v>
      </c>
      <c r="BA5" s="1">
        <v>1</v>
      </c>
      <c r="BB5" s="1">
        <v>14.435</v>
      </c>
      <c r="BC5" s="1">
        <v>4.0940000000000003</v>
      </c>
      <c r="BD5" s="1">
        <v>0.81399999999999995</v>
      </c>
      <c r="BE5" s="1">
        <v>4.1079999999999997</v>
      </c>
      <c r="BF5" s="1">
        <v>3.6469999999999998</v>
      </c>
      <c r="BG5" s="1">
        <v>8.1790000000000003</v>
      </c>
      <c r="BH5" s="1">
        <v>5.1100000000000003</v>
      </c>
      <c r="BI5" s="1">
        <v>4.0140000000000002</v>
      </c>
      <c r="BJ5" s="1">
        <v>3.7</v>
      </c>
      <c r="BK5" s="1">
        <v>1.5329999999999999</v>
      </c>
      <c r="BL5" s="1">
        <v>2.0510000000000002</v>
      </c>
      <c r="BM5" s="1">
        <v>2.36</v>
      </c>
      <c r="BN5" s="1">
        <v>3.9649999999999999</v>
      </c>
      <c r="BO5" s="1">
        <v>1.9830000000000001</v>
      </c>
      <c r="BP5" s="1">
        <v>0.55800000000000005</v>
      </c>
    </row>
    <row r="6" spans="1:68" x14ac:dyDescent="0.3">
      <c r="A6" s="1" t="s">
        <v>90</v>
      </c>
      <c r="B6" s="1">
        <v>6.8259999999999996</v>
      </c>
      <c r="C6" s="1">
        <v>7.0380000000000003</v>
      </c>
      <c r="D6" s="1">
        <v>8.2629999999999999</v>
      </c>
      <c r="E6" s="1">
        <v>4.3239999999999998</v>
      </c>
      <c r="F6" s="1">
        <v>5.7859999999999996</v>
      </c>
      <c r="G6" s="1">
        <v>5.8479999999999999</v>
      </c>
      <c r="H6" s="1">
        <v>5.3239999999999998</v>
      </c>
      <c r="I6" s="1">
        <v>4.4630000000000001</v>
      </c>
      <c r="J6" s="1">
        <v>11.542</v>
      </c>
      <c r="K6" s="1">
        <v>8.641</v>
      </c>
      <c r="L6" s="1">
        <v>6.5739999999999998</v>
      </c>
      <c r="M6" s="1">
        <v>10.689</v>
      </c>
      <c r="N6" s="1">
        <v>9.0139999999999993</v>
      </c>
      <c r="O6" s="1">
        <v>5.944</v>
      </c>
      <c r="P6" s="1">
        <v>4.92</v>
      </c>
      <c r="Q6" s="1">
        <v>5.4059999999999997</v>
      </c>
      <c r="R6" s="1">
        <v>8.6739999999999995</v>
      </c>
      <c r="S6" s="1">
        <v>8.9760000000000009</v>
      </c>
      <c r="T6" s="1">
        <v>8.798</v>
      </c>
      <c r="U6" s="1">
        <v>7.3179999999999996</v>
      </c>
      <c r="V6" s="1">
        <v>9.3469999999999995</v>
      </c>
      <c r="W6" s="1">
        <v>8.15</v>
      </c>
      <c r="X6" s="1">
        <v>7.7949999999999999</v>
      </c>
      <c r="Y6" s="1">
        <v>6.6660000000000004</v>
      </c>
      <c r="Z6" s="1">
        <v>6.56</v>
      </c>
      <c r="AA6" s="1">
        <v>6.0490000000000004</v>
      </c>
      <c r="AB6" s="1">
        <v>6.5179999999999998</v>
      </c>
      <c r="AC6" s="1">
        <v>4.6539999999999999</v>
      </c>
      <c r="AD6" s="1">
        <v>6.3339999999999996</v>
      </c>
      <c r="AE6" s="1">
        <v>7.9960000000000004</v>
      </c>
      <c r="AF6" s="1">
        <v>13.913</v>
      </c>
      <c r="AG6" s="1">
        <v>5.3440000000000003</v>
      </c>
      <c r="AH6" s="1">
        <v>5.5259999999999998</v>
      </c>
      <c r="AI6" s="1">
        <v>7.2</v>
      </c>
      <c r="AJ6" s="1">
        <v>9.2789999999999999</v>
      </c>
      <c r="AK6" s="1">
        <v>7.407</v>
      </c>
      <c r="AL6" s="1">
        <v>6.0279999999999996</v>
      </c>
      <c r="AM6" s="1">
        <v>5.165</v>
      </c>
      <c r="AN6" s="1">
        <v>7.15</v>
      </c>
      <c r="AO6" s="1">
        <v>4.49</v>
      </c>
      <c r="AP6" s="1">
        <v>8.1790000000000003</v>
      </c>
      <c r="AQ6" s="1">
        <v>5.5519999999999996</v>
      </c>
      <c r="AR6" s="1">
        <v>7.2039999999999997</v>
      </c>
      <c r="AS6" s="1">
        <v>7.1909999999999998</v>
      </c>
      <c r="AT6" s="1">
        <v>7.1639999999999997</v>
      </c>
      <c r="AU6" s="1">
        <v>8.5730000000000004</v>
      </c>
      <c r="AV6" s="1">
        <v>6.1779999999999999</v>
      </c>
      <c r="AW6" s="1">
        <v>10.785</v>
      </c>
      <c r="AX6" s="1">
        <v>7.0519999999999996</v>
      </c>
      <c r="AY6" s="1">
        <v>5.8</v>
      </c>
      <c r="AZ6" s="1">
        <v>6.3860000000000001</v>
      </c>
      <c r="BA6" s="1">
        <v>4.5220000000000002</v>
      </c>
      <c r="BB6" s="1">
        <v>12.178000000000001</v>
      </c>
      <c r="BC6" s="1">
        <v>4.9649999999999999</v>
      </c>
      <c r="BD6" s="1">
        <v>6.1580000000000004</v>
      </c>
      <c r="BE6" s="1">
        <v>5.5789999999999997</v>
      </c>
      <c r="BF6" s="1">
        <v>7.4909999999999997</v>
      </c>
      <c r="BG6" s="1">
        <v>7.1429999999999998</v>
      </c>
      <c r="BH6" s="1">
        <v>7.4470000000000001</v>
      </c>
      <c r="BI6" s="1">
        <v>9.7349999999999994</v>
      </c>
      <c r="BJ6" s="1">
        <v>7.226</v>
      </c>
      <c r="BK6" s="1">
        <v>6.6669999999999998</v>
      </c>
      <c r="BL6" s="1">
        <v>5.0469999999999997</v>
      </c>
      <c r="BM6" s="1">
        <v>6.7830000000000004</v>
      </c>
      <c r="BN6" s="1">
        <v>6.9009999999999998</v>
      </c>
      <c r="BO6" s="1">
        <v>7.2389999999999999</v>
      </c>
      <c r="BP6" s="1">
        <v>1.1930000000000001</v>
      </c>
    </row>
    <row r="7" spans="1:68" x14ac:dyDescent="0.3">
      <c r="A7" s="1" t="s">
        <v>91</v>
      </c>
      <c r="B7" s="1">
        <v>1.712</v>
      </c>
      <c r="C7" s="1">
        <v>4.1059999999999999</v>
      </c>
      <c r="D7" s="1">
        <v>0.14199999999999999</v>
      </c>
      <c r="E7" s="1">
        <v>-1.357</v>
      </c>
      <c r="F7" s="1">
        <v>2.0049999999999999</v>
      </c>
      <c r="G7" s="1">
        <v>1.5189999999999999</v>
      </c>
      <c r="H7" s="1">
        <v>2.742</v>
      </c>
      <c r="I7" s="1">
        <v>2.4889999999999999</v>
      </c>
      <c r="J7" s="1">
        <v>0.67</v>
      </c>
      <c r="K7" s="1">
        <v>1.66</v>
      </c>
      <c r="L7" s="1">
        <v>-0.19600000000000001</v>
      </c>
      <c r="M7" s="1">
        <v>2.4510000000000001</v>
      </c>
      <c r="N7" s="1">
        <v>5.6719999999999997</v>
      </c>
      <c r="O7" s="1">
        <v>1.095</v>
      </c>
      <c r="P7" s="1">
        <v>0.26800000000000002</v>
      </c>
      <c r="Q7" s="1">
        <v>2.8370000000000002</v>
      </c>
      <c r="R7" s="1">
        <v>0.20799999999999999</v>
      </c>
      <c r="S7" s="1">
        <v>1.2310000000000001</v>
      </c>
      <c r="T7" s="1">
        <v>3.6419999999999999</v>
      </c>
      <c r="U7" s="1">
        <v>1.7509999999999999</v>
      </c>
      <c r="V7" s="1">
        <v>-0.2</v>
      </c>
      <c r="W7" s="1">
        <v>3.8730000000000002</v>
      </c>
      <c r="X7" s="1">
        <v>4.3620000000000001</v>
      </c>
      <c r="Y7" s="1">
        <v>2.1920000000000002</v>
      </c>
      <c r="Z7" s="1">
        <v>3.109</v>
      </c>
      <c r="AA7" s="1">
        <v>3.238</v>
      </c>
      <c r="AB7" s="1">
        <v>-7.6999999999999999E-2</v>
      </c>
      <c r="AC7" s="1">
        <v>1.67</v>
      </c>
      <c r="AD7" s="1">
        <v>1.595</v>
      </c>
      <c r="AE7" s="1">
        <v>4.6630000000000003</v>
      </c>
      <c r="AF7" s="1">
        <v>6.1559999999999997</v>
      </c>
      <c r="AG7" s="1">
        <v>2.4950000000000001</v>
      </c>
      <c r="AH7" s="1">
        <v>1.702</v>
      </c>
      <c r="AI7" s="1">
        <v>3.9079999999999999</v>
      </c>
      <c r="AJ7" s="1">
        <v>2.4409999999999998</v>
      </c>
      <c r="AK7" s="1">
        <v>1.802</v>
      </c>
      <c r="AL7" s="1">
        <v>2.4430000000000001</v>
      </c>
      <c r="AM7" s="1">
        <v>1.236</v>
      </c>
      <c r="AN7" s="1">
        <v>2.331</v>
      </c>
      <c r="AO7" s="1">
        <v>2.0870000000000002</v>
      </c>
      <c r="AP7" s="1">
        <v>3.64</v>
      </c>
      <c r="AQ7" s="1">
        <v>-0.54200000000000004</v>
      </c>
      <c r="AR7" s="1">
        <v>1.962</v>
      </c>
      <c r="AS7" s="1">
        <v>2.3180000000000001</v>
      </c>
      <c r="AT7" s="1">
        <v>2.3879999999999999</v>
      </c>
      <c r="AU7" s="1">
        <v>0.78200000000000003</v>
      </c>
      <c r="AV7" s="1">
        <v>2.1739999999999999</v>
      </c>
      <c r="AW7" s="1">
        <v>3.2749999999999999</v>
      </c>
      <c r="AX7" s="1">
        <v>-3.4540000000000002</v>
      </c>
      <c r="AY7" s="1">
        <v>1.2230000000000001</v>
      </c>
      <c r="AZ7" s="1">
        <v>1.867</v>
      </c>
      <c r="BA7" s="1">
        <v>1.8069999999999999</v>
      </c>
      <c r="BB7" s="1">
        <v>1.1240000000000001</v>
      </c>
      <c r="BC7" s="1">
        <v>1.593</v>
      </c>
      <c r="BD7" s="1">
        <v>3.91</v>
      </c>
      <c r="BE7" s="1">
        <v>0.66200000000000003</v>
      </c>
      <c r="BF7" s="1">
        <v>1.1359999999999999</v>
      </c>
      <c r="BG7" s="1">
        <v>2.68</v>
      </c>
      <c r="BH7" s="1">
        <v>2.379</v>
      </c>
      <c r="BI7" s="1">
        <v>2.996</v>
      </c>
      <c r="BJ7" s="1">
        <v>2.3050000000000002</v>
      </c>
      <c r="BK7" s="1">
        <v>3.4830000000000001</v>
      </c>
      <c r="BL7" s="1">
        <v>2.4129999999999998</v>
      </c>
      <c r="BM7" s="1">
        <v>2.5619999999999998</v>
      </c>
      <c r="BN7" s="1">
        <v>2.2930000000000001</v>
      </c>
      <c r="BO7" s="1">
        <v>4.8230000000000004</v>
      </c>
      <c r="BP7" s="1">
        <v>0.68100000000000005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744C-4A89-4FCD-AD8C-59CD8C97AB6E}">
  <dimension ref="A1:BP7"/>
  <sheetViews>
    <sheetView workbookViewId="0">
      <selection activeCell="I19" sqref="I19"/>
    </sheetView>
  </sheetViews>
  <sheetFormatPr defaultRowHeight="14.4" x14ac:dyDescent="0.3"/>
  <cols>
    <col min="1" max="1" width="11.77734375" bestFit="1" customWidth="1"/>
  </cols>
  <sheetData>
    <row r="1" spans="1:68" x14ac:dyDescent="0.3">
      <c r="A1" s="1" t="s">
        <v>92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</row>
    <row r="2" spans="1:68" x14ac:dyDescent="0.3">
      <c r="A2" s="1" t="s">
        <v>86</v>
      </c>
      <c r="B2" s="1">
        <v>3.9630000000000001</v>
      </c>
      <c r="C2" s="1">
        <v>6.5860000000000003</v>
      </c>
      <c r="D2" s="1">
        <v>10.259</v>
      </c>
      <c r="E2" s="1">
        <v>5.149</v>
      </c>
      <c r="F2" s="1">
        <v>9.3000000000000007</v>
      </c>
      <c r="G2" s="1">
        <v>4.2830000000000004</v>
      </c>
      <c r="H2" s="1">
        <v>4.2949999999999999</v>
      </c>
      <c r="I2" s="1">
        <v>3.58</v>
      </c>
      <c r="J2" s="1">
        <v>11.504</v>
      </c>
      <c r="K2" s="1">
        <v>8.8010000000000002</v>
      </c>
      <c r="L2" s="1">
        <v>5.7530000000000001</v>
      </c>
      <c r="M2" s="1">
        <v>5.73</v>
      </c>
      <c r="N2" s="1">
        <v>7.88</v>
      </c>
      <c r="O2" s="1">
        <v>6.07</v>
      </c>
      <c r="P2" s="1">
        <v>3.9260000000000002</v>
      </c>
      <c r="Q2" s="1">
        <v>9.5660000000000007</v>
      </c>
      <c r="R2" s="1">
        <v>7.74</v>
      </c>
      <c r="S2" s="1">
        <v>8.4570000000000007</v>
      </c>
      <c r="T2" s="1">
        <v>10.054</v>
      </c>
      <c r="U2" s="1">
        <v>7.8369999999999997</v>
      </c>
      <c r="V2" s="1">
        <v>3.66</v>
      </c>
      <c r="W2" s="1">
        <v>5.9249999999999998</v>
      </c>
      <c r="X2" s="1">
        <v>4.3070000000000004</v>
      </c>
      <c r="Y2" s="1">
        <v>5.37</v>
      </c>
      <c r="Z2" s="1">
        <v>5.9059999999999997</v>
      </c>
      <c r="AA2" s="1">
        <v>4.3920000000000003</v>
      </c>
      <c r="AB2" s="1">
        <v>8.6039999999999992</v>
      </c>
      <c r="AC2" s="1">
        <v>5.3550000000000004</v>
      </c>
      <c r="AD2" s="1">
        <v>4.5579999999999998</v>
      </c>
      <c r="AE2" s="1">
        <v>8.5459999999999994</v>
      </c>
      <c r="AF2" s="1">
        <v>11.632999999999999</v>
      </c>
      <c r="AG2" s="1">
        <v>4.8920000000000003</v>
      </c>
      <c r="AH2" s="1">
        <v>5.1429999999999998</v>
      </c>
      <c r="AI2" s="1">
        <v>5.141</v>
      </c>
      <c r="AJ2" s="1">
        <v>10.856999999999999</v>
      </c>
      <c r="AK2" s="1">
        <v>7.6349999999999998</v>
      </c>
      <c r="AL2" s="1">
        <v>8.2479999999999993</v>
      </c>
      <c r="AM2" s="1">
        <v>3.7480000000000002</v>
      </c>
      <c r="AN2" s="1">
        <v>8.1479999999999997</v>
      </c>
      <c r="AO2" s="1">
        <v>2.931</v>
      </c>
      <c r="AP2" s="1">
        <v>5.5279999999999996</v>
      </c>
      <c r="AQ2" s="1">
        <v>5.6769999999999996</v>
      </c>
      <c r="AR2" s="1">
        <v>7.0060000000000002</v>
      </c>
      <c r="AS2" s="1">
        <v>5.0410000000000004</v>
      </c>
      <c r="AT2" s="1">
        <v>4.8179999999999996</v>
      </c>
      <c r="AU2" s="1">
        <v>8.1549999999999994</v>
      </c>
      <c r="AV2" s="1">
        <v>13.29</v>
      </c>
      <c r="AW2" s="1">
        <v>9.7629999999999999</v>
      </c>
      <c r="AX2" s="1">
        <v>4.0940000000000003</v>
      </c>
      <c r="AY2" s="1">
        <v>4.0709999999999997</v>
      </c>
      <c r="AZ2" s="1">
        <v>5.0190000000000001</v>
      </c>
      <c r="BA2" s="1">
        <v>5.0410000000000004</v>
      </c>
      <c r="BB2" s="1">
        <v>7.5830000000000002</v>
      </c>
      <c r="BC2" s="1">
        <v>4.8410000000000002</v>
      </c>
      <c r="BD2" s="1">
        <v>6.7510000000000003</v>
      </c>
      <c r="BE2" s="1">
        <v>7.5640000000000001</v>
      </c>
      <c r="BF2" s="1">
        <v>4.99</v>
      </c>
      <c r="BG2" s="1">
        <v>9.0670000000000002</v>
      </c>
      <c r="BH2" s="1">
        <v>9.9290000000000003</v>
      </c>
      <c r="BI2" s="1">
        <v>7.2850000000000001</v>
      </c>
      <c r="BJ2" s="1">
        <v>6.9539999999999997</v>
      </c>
      <c r="BK2" s="1">
        <v>6.8310000000000004</v>
      </c>
      <c r="BL2" s="1">
        <v>3.2989999999999999</v>
      </c>
      <c r="BM2" s="1">
        <v>3.8420000000000001</v>
      </c>
      <c r="BN2" s="1">
        <v>7.2039999999999997</v>
      </c>
      <c r="BO2" s="1">
        <v>7.1849999999999996</v>
      </c>
      <c r="BP2" s="1">
        <v>3.19</v>
      </c>
    </row>
    <row r="3" spans="1:68" x14ac:dyDescent="0.3">
      <c r="A3" s="1" t="s">
        <v>87</v>
      </c>
      <c r="B3" s="1">
        <v>13.032</v>
      </c>
      <c r="C3" s="1">
        <v>13.391</v>
      </c>
      <c r="D3" s="1">
        <v>10.141</v>
      </c>
      <c r="E3" s="1">
        <v>6.09</v>
      </c>
      <c r="F3" s="1">
        <v>12.801</v>
      </c>
      <c r="G3" s="1">
        <v>8.6750000000000007</v>
      </c>
      <c r="H3" s="1">
        <v>7.9260000000000002</v>
      </c>
      <c r="I3" s="1">
        <v>6.202</v>
      </c>
      <c r="J3" s="1">
        <v>11.518000000000001</v>
      </c>
      <c r="K3" s="1">
        <v>9.2469999999999999</v>
      </c>
      <c r="L3" s="1">
        <v>9.6839999999999993</v>
      </c>
      <c r="M3" s="1">
        <v>11.574</v>
      </c>
      <c r="N3" s="1">
        <v>8.3420000000000005</v>
      </c>
      <c r="O3" s="1">
        <v>8.25</v>
      </c>
      <c r="P3" s="1">
        <v>5.63</v>
      </c>
      <c r="Q3" s="1">
        <v>6.2990000000000004</v>
      </c>
      <c r="R3" s="1">
        <v>8.9390000000000001</v>
      </c>
      <c r="S3" s="1">
        <v>9.5679999999999996</v>
      </c>
      <c r="T3" s="1">
        <v>8.2479999999999993</v>
      </c>
      <c r="U3" s="1">
        <v>7.9539999999999997</v>
      </c>
      <c r="V3" s="1">
        <v>6.7279999999999998</v>
      </c>
      <c r="W3" s="1">
        <v>9.1129999999999995</v>
      </c>
      <c r="X3" s="1">
        <v>7.6269999999999998</v>
      </c>
      <c r="Y3" s="1">
        <v>7.83</v>
      </c>
      <c r="Z3" s="1">
        <v>6.5270000000000001</v>
      </c>
      <c r="AA3" s="1">
        <v>6.1470000000000002</v>
      </c>
      <c r="AB3" s="1">
        <v>6.3769999999999998</v>
      </c>
      <c r="AC3" s="1">
        <v>7.7859999999999996</v>
      </c>
      <c r="AD3" s="1">
        <v>7.81</v>
      </c>
      <c r="AE3" s="1">
        <v>16.128</v>
      </c>
      <c r="AF3" s="1">
        <v>12.76</v>
      </c>
      <c r="AG3" s="1">
        <v>6.8120000000000003</v>
      </c>
      <c r="AH3" s="1">
        <v>7.8170000000000002</v>
      </c>
      <c r="AI3" s="1">
        <v>6.9390000000000001</v>
      </c>
      <c r="AJ3" s="1">
        <v>7.8620000000000001</v>
      </c>
      <c r="AK3" s="1">
        <v>7.11</v>
      </c>
      <c r="AL3" s="1">
        <v>11.448</v>
      </c>
      <c r="AM3" s="1">
        <v>7.9050000000000002</v>
      </c>
      <c r="AN3" s="1">
        <v>5.8170000000000002</v>
      </c>
      <c r="AO3" s="1">
        <v>5.6459999999999999</v>
      </c>
      <c r="AP3" s="1">
        <v>8.5510000000000002</v>
      </c>
      <c r="AQ3" s="1">
        <v>9.8849999999999998</v>
      </c>
      <c r="AR3" s="1">
        <v>8.3260000000000005</v>
      </c>
      <c r="AS3" s="1">
        <v>7.0709999999999997</v>
      </c>
      <c r="AT3" s="1">
        <v>9.3320000000000007</v>
      </c>
      <c r="AU3" s="1">
        <v>8.5470000000000006</v>
      </c>
      <c r="AV3" s="1">
        <v>9.7710000000000008</v>
      </c>
      <c r="AW3" s="1">
        <v>11.847</v>
      </c>
      <c r="AX3" s="1">
        <v>6.4619999999999997</v>
      </c>
      <c r="AY3" s="1">
        <v>7.617</v>
      </c>
      <c r="AZ3" s="1">
        <v>8.0809999999999995</v>
      </c>
      <c r="BA3" s="1">
        <v>6.9989999999999997</v>
      </c>
      <c r="BB3" s="1">
        <v>16.742999999999999</v>
      </c>
      <c r="BC3" s="1">
        <v>7.44</v>
      </c>
      <c r="BD3" s="1">
        <v>11.887</v>
      </c>
      <c r="BE3" s="1">
        <v>7.01</v>
      </c>
      <c r="BF3" s="1">
        <v>12.439</v>
      </c>
      <c r="BG3" s="1">
        <v>7.4720000000000004</v>
      </c>
      <c r="BH3" s="1">
        <v>7.9850000000000003</v>
      </c>
      <c r="BI3" s="1">
        <v>11.074</v>
      </c>
      <c r="BJ3" s="1">
        <v>7.1369999999999996</v>
      </c>
      <c r="BK3" s="1">
        <v>8.1229999999999993</v>
      </c>
      <c r="BL3" s="1">
        <v>7.1230000000000002</v>
      </c>
      <c r="BM3" s="1">
        <v>9.8409999999999993</v>
      </c>
      <c r="BN3" s="1">
        <v>8.6150000000000002</v>
      </c>
      <c r="BO3" s="1">
        <v>8.3870000000000005</v>
      </c>
      <c r="BP3" s="1">
        <v>1.5780000000000001</v>
      </c>
    </row>
    <row r="4" spans="1:68" x14ac:dyDescent="0.3">
      <c r="A4" s="1" t="s">
        <v>88</v>
      </c>
      <c r="B4" s="1">
        <v>11.427</v>
      </c>
      <c r="C4" s="1">
        <v>11.012</v>
      </c>
      <c r="D4" s="1">
        <v>9.9819999999999993</v>
      </c>
      <c r="E4" s="1">
        <v>4.6340000000000003</v>
      </c>
      <c r="F4" s="1">
        <v>11.065</v>
      </c>
      <c r="G4" s="1">
        <v>6.7809999999999997</v>
      </c>
      <c r="H4" s="1">
        <v>10.920999999999999</v>
      </c>
      <c r="I4" s="1">
        <v>4.6529999999999996</v>
      </c>
      <c r="J4" s="1">
        <v>15.125</v>
      </c>
      <c r="K4" s="1">
        <v>11.911</v>
      </c>
      <c r="L4" s="1">
        <v>10.369</v>
      </c>
      <c r="M4" s="1">
        <v>18.552</v>
      </c>
      <c r="N4" s="1">
        <v>13.864000000000001</v>
      </c>
      <c r="O4" s="1">
        <v>7.6509999999999998</v>
      </c>
      <c r="P4" s="1">
        <v>6.2889999999999997</v>
      </c>
      <c r="Q4" s="1">
        <v>8.6110000000000007</v>
      </c>
      <c r="R4" s="1">
        <v>13.819000000000001</v>
      </c>
      <c r="S4" s="1">
        <v>11.497</v>
      </c>
      <c r="T4" s="1">
        <v>13.702999999999999</v>
      </c>
      <c r="U4" s="1">
        <v>9.7479999999999993</v>
      </c>
      <c r="V4" s="1">
        <v>3.8570000000000002</v>
      </c>
      <c r="W4" s="1">
        <v>13.906000000000001</v>
      </c>
      <c r="X4" s="1">
        <v>8.6440000000000001</v>
      </c>
      <c r="Y4" s="1">
        <v>9.24</v>
      </c>
      <c r="Z4" s="1">
        <v>8.0960000000000001</v>
      </c>
      <c r="AA4" s="1">
        <v>7.5860000000000003</v>
      </c>
      <c r="AB4" s="1">
        <v>9.4260000000000002</v>
      </c>
      <c r="AC4" s="1">
        <v>4.5170000000000003</v>
      </c>
      <c r="AD4" s="1">
        <v>10.127000000000001</v>
      </c>
      <c r="AE4" s="1">
        <v>10.884</v>
      </c>
      <c r="AF4" s="1">
        <v>18.972000000000001</v>
      </c>
      <c r="AG4" s="1">
        <v>8.7799999999999994</v>
      </c>
      <c r="AH4" s="1">
        <v>7.024</v>
      </c>
      <c r="AI4" s="1">
        <v>8.2789999999999999</v>
      </c>
      <c r="AJ4" s="1">
        <v>11.94</v>
      </c>
      <c r="AK4" s="1">
        <v>5.415</v>
      </c>
      <c r="AL4" s="1">
        <v>11.215</v>
      </c>
      <c r="AM4" s="1">
        <v>4.1920000000000002</v>
      </c>
      <c r="AN4" s="1">
        <v>12.061</v>
      </c>
      <c r="AO4" s="1">
        <v>5.7910000000000004</v>
      </c>
      <c r="AP4" s="1">
        <v>14.97</v>
      </c>
      <c r="AQ4" s="1">
        <v>4.4359999999999999</v>
      </c>
      <c r="AR4" s="1">
        <v>9.2230000000000008</v>
      </c>
      <c r="AS4" s="1">
        <v>8.968</v>
      </c>
      <c r="AT4" s="1">
        <v>11.753</v>
      </c>
      <c r="AU4" s="1">
        <v>11.455</v>
      </c>
      <c r="AV4" s="1">
        <v>11.535</v>
      </c>
      <c r="AW4" s="1">
        <v>13.659000000000001</v>
      </c>
      <c r="AX4" s="1">
        <v>8.5220000000000002</v>
      </c>
      <c r="AY4" s="1">
        <v>10.384</v>
      </c>
      <c r="AZ4" s="1">
        <v>10.933</v>
      </c>
      <c r="BA4" s="1">
        <v>4.5389999999999997</v>
      </c>
      <c r="BB4" s="1">
        <v>15.536</v>
      </c>
      <c r="BC4" s="1">
        <v>2.4870000000000001</v>
      </c>
      <c r="BD4" s="1">
        <v>9.44</v>
      </c>
      <c r="BE4" s="1">
        <v>7.202</v>
      </c>
      <c r="BF4" s="1">
        <v>9.2289999999999992</v>
      </c>
      <c r="BG4" s="1">
        <v>7.7149999999999999</v>
      </c>
      <c r="BH4" s="1">
        <v>13.224</v>
      </c>
      <c r="BI4" s="1">
        <v>12.832000000000001</v>
      </c>
      <c r="BJ4" s="1">
        <v>7.0449999999999999</v>
      </c>
      <c r="BK4" s="1">
        <v>5.4059999999999997</v>
      </c>
      <c r="BL4" s="1">
        <v>4.5709999999999997</v>
      </c>
      <c r="BM4" s="1">
        <v>8.9589999999999996</v>
      </c>
      <c r="BN4" s="1">
        <v>7.3419999999999996</v>
      </c>
      <c r="BO4" s="1">
        <v>9.3360000000000003</v>
      </c>
      <c r="BP4" s="1">
        <v>2.83</v>
      </c>
    </row>
    <row r="5" spans="1:68" x14ac:dyDescent="0.3">
      <c r="A5" s="1" t="s">
        <v>89</v>
      </c>
      <c r="B5" s="1">
        <v>8.4079999999999995</v>
      </c>
      <c r="C5" s="1">
        <v>4.0419999999999998</v>
      </c>
      <c r="D5" s="1">
        <v>9.1690000000000005</v>
      </c>
      <c r="E5" s="1">
        <v>11.994999999999999</v>
      </c>
      <c r="F5" s="1">
        <v>10.01</v>
      </c>
      <c r="G5" s="1">
        <v>5.4720000000000004</v>
      </c>
      <c r="H5" s="1">
        <v>4.7409999999999997</v>
      </c>
      <c r="I5" s="1">
        <v>3.5750000000000002</v>
      </c>
      <c r="J5" s="1">
        <v>15.32</v>
      </c>
      <c r="K5" s="1">
        <v>9.0500000000000007</v>
      </c>
      <c r="L5" s="1">
        <v>10.396000000000001</v>
      </c>
      <c r="M5" s="1">
        <v>8.7409999999999997</v>
      </c>
      <c r="N5" s="1">
        <v>4.5519999999999996</v>
      </c>
      <c r="O5" s="1">
        <v>4.8</v>
      </c>
      <c r="P5" s="1">
        <v>4.3179999999999996</v>
      </c>
      <c r="Q5" s="1">
        <v>4.5830000000000002</v>
      </c>
      <c r="R5" s="1">
        <v>14.003</v>
      </c>
      <c r="S5" s="1">
        <v>6.9390000000000001</v>
      </c>
      <c r="T5" s="1">
        <v>8.1720000000000006</v>
      </c>
      <c r="U5" s="1">
        <v>11.961</v>
      </c>
      <c r="V5" s="1">
        <v>7.7850000000000001</v>
      </c>
      <c r="W5" s="1">
        <v>4.6909999999999998</v>
      </c>
      <c r="X5" s="1">
        <v>8.923</v>
      </c>
      <c r="Y5" s="1">
        <v>5.8769999999999998</v>
      </c>
      <c r="Z5" s="1">
        <v>5.5309999999999997</v>
      </c>
      <c r="AA5" s="1">
        <v>6.4020000000000001</v>
      </c>
      <c r="AB5" s="1">
        <v>8.5039999999999996</v>
      </c>
      <c r="AC5" s="1">
        <v>4.7649999999999997</v>
      </c>
      <c r="AD5" s="1">
        <v>5.5430000000000001</v>
      </c>
      <c r="AE5" s="1">
        <v>5.8140000000000001</v>
      </c>
      <c r="AF5" s="1">
        <v>5.8479999999999999</v>
      </c>
      <c r="AG5" s="1">
        <v>2.59</v>
      </c>
      <c r="AH5" s="1">
        <v>8.4250000000000007</v>
      </c>
      <c r="AI5" s="1">
        <v>4.7910000000000004</v>
      </c>
      <c r="AJ5" s="1">
        <v>5.38</v>
      </c>
      <c r="AK5" s="1">
        <v>12.606999999999999</v>
      </c>
      <c r="AL5" s="1">
        <v>6.0549999999999997</v>
      </c>
      <c r="AM5" s="1">
        <v>3.5179999999999998</v>
      </c>
      <c r="AN5" s="1">
        <v>5.492</v>
      </c>
      <c r="AO5" s="1">
        <v>4.8029999999999999</v>
      </c>
      <c r="AP5" s="1">
        <v>5.1269999999999998</v>
      </c>
      <c r="AQ5" s="1">
        <v>17.811</v>
      </c>
      <c r="AR5" s="1">
        <v>6.4619999999999997</v>
      </c>
      <c r="AS5" s="1">
        <v>7.4320000000000004</v>
      </c>
      <c r="AT5" s="1">
        <v>7.8529999999999998</v>
      </c>
      <c r="AU5" s="1">
        <v>3.4769999999999999</v>
      </c>
      <c r="AV5" s="1">
        <v>4.149</v>
      </c>
      <c r="AW5" s="1">
        <v>17.504000000000001</v>
      </c>
      <c r="AX5" s="1">
        <v>18.599</v>
      </c>
      <c r="AY5" s="1">
        <v>5.28</v>
      </c>
      <c r="AZ5" s="1">
        <v>6.32</v>
      </c>
      <c r="BA5" s="1">
        <v>2.464</v>
      </c>
      <c r="BB5" s="1">
        <v>19.433</v>
      </c>
      <c r="BC5" s="1">
        <v>6.6689999999999996</v>
      </c>
      <c r="BD5" s="1">
        <v>2.8260000000000001</v>
      </c>
      <c r="BE5" s="1">
        <v>6.3280000000000003</v>
      </c>
      <c r="BF5" s="1">
        <v>6.02</v>
      </c>
      <c r="BG5" s="1">
        <v>11.571999999999999</v>
      </c>
      <c r="BH5" s="1">
        <v>7.8419999999999996</v>
      </c>
      <c r="BI5" s="1">
        <v>7.0780000000000003</v>
      </c>
      <c r="BJ5" s="1">
        <v>6.0469999999999997</v>
      </c>
      <c r="BK5" s="1">
        <v>3.4079999999999999</v>
      </c>
      <c r="BL5" s="1">
        <v>3.7210000000000001</v>
      </c>
      <c r="BM5" s="1">
        <v>4.3949999999999996</v>
      </c>
      <c r="BN5" s="1">
        <v>6.3559999999999999</v>
      </c>
      <c r="BO5" s="1">
        <v>4.3220000000000001</v>
      </c>
      <c r="BP5" s="1">
        <v>1.5089999999999999</v>
      </c>
    </row>
    <row r="6" spans="1:68" x14ac:dyDescent="0.3">
      <c r="A6" s="1" t="s">
        <v>90</v>
      </c>
      <c r="B6" s="1">
        <v>9.3740000000000006</v>
      </c>
      <c r="C6" s="1">
        <v>8.9870000000000001</v>
      </c>
      <c r="D6" s="1">
        <v>11.36</v>
      </c>
      <c r="E6" s="1">
        <v>7.3730000000000002</v>
      </c>
      <c r="F6" s="1">
        <v>8.9619999999999997</v>
      </c>
      <c r="G6" s="1">
        <v>7.7939999999999996</v>
      </c>
      <c r="H6" s="1">
        <v>7.29</v>
      </c>
      <c r="I6" s="1">
        <v>6.0709999999999997</v>
      </c>
      <c r="J6" s="1">
        <v>15.984999999999999</v>
      </c>
      <c r="K6" s="1">
        <v>11.6</v>
      </c>
      <c r="L6" s="1">
        <v>9.5869999999999997</v>
      </c>
      <c r="M6" s="1">
        <v>13.971</v>
      </c>
      <c r="N6" s="1">
        <v>11.183</v>
      </c>
      <c r="O6" s="1">
        <v>7.7270000000000003</v>
      </c>
      <c r="P6" s="1">
        <v>6.9119999999999999</v>
      </c>
      <c r="Q6" s="1">
        <v>7.4779999999999998</v>
      </c>
      <c r="R6" s="1">
        <v>12.473000000000001</v>
      </c>
      <c r="S6" s="1">
        <v>11.744</v>
      </c>
      <c r="T6" s="1">
        <v>11.657</v>
      </c>
      <c r="U6" s="1">
        <v>10.585000000000001</v>
      </c>
      <c r="V6" s="1">
        <v>11.194000000000001</v>
      </c>
      <c r="W6" s="1">
        <v>10.246</v>
      </c>
      <c r="X6" s="1">
        <v>10.888999999999999</v>
      </c>
      <c r="Y6" s="1">
        <v>9.06</v>
      </c>
      <c r="Z6" s="1">
        <v>8.6790000000000003</v>
      </c>
      <c r="AA6" s="1">
        <v>8.3000000000000007</v>
      </c>
      <c r="AB6" s="1">
        <v>9.3620000000000001</v>
      </c>
      <c r="AC6" s="1">
        <v>6.5960000000000001</v>
      </c>
      <c r="AD6" s="1">
        <v>8.4260000000000002</v>
      </c>
      <c r="AE6" s="1">
        <v>10.5</v>
      </c>
      <c r="AF6" s="1">
        <v>16.509</v>
      </c>
      <c r="AG6" s="1">
        <v>6.8369999999999997</v>
      </c>
      <c r="AH6" s="1">
        <v>8.0549999999999997</v>
      </c>
      <c r="AI6" s="1">
        <v>9.2989999999999995</v>
      </c>
      <c r="AJ6" s="1">
        <v>12.010999999999999</v>
      </c>
      <c r="AK6" s="1">
        <v>10.516999999999999</v>
      </c>
      <c r="AL6" s="1">
        <v>8.3360000000000003</v>
      </c>
      <c r="AM6" s="1">
        <v>6.806</v>
      </c>
      <c r="AN6" s="1">
        <v>9.5169999999999995</v>
      </c>
      <c r="AO6" s="1">
        <v>6.25</v>
      </c>
      <c r="AP6" s="1">
        <v>10.444000000000001</v>
      </c>
      <c r="AQ6" s="1">
        <v>9.2680000000000007</v>
      </c>
      <c r="AR6" s="1">
        <v>9.4350000000000005</v>
      </c>
      <c r="AS6" s="1">
        <v>9.6389999999999993</v>
      </c>
      <c r="AT6" s="1">
        <v>9.7050000000000001</v>
      </c>
      <c r="AU6" s="1">
        <v>10.723000000000001</v>
      </c>
      <c r="AV6" s="1">
        <v>8.3759999999999994</v>
      </c>
      <c r="AW6" s="1">
        <v>15.323</v>
      </c>
      <c r="AX6" s="1">
        <v>11.199</v>
      </c>
      <c r="AY6" s="1">
        <v>7.8380000000000001</v>
      </c>
      <c r="AZ6" s="1">
        <v>8.6630000000000003</v>
      </c>
      <c r="BA6" s="1">
        <v>5.883</v>
      </c>
      <c r="BB6" s="1">
        <v>17.265999999999998</v>
      </c>
      <c r="BC6" s="1">
        <v>7.452</v>
      </c>
      <c r="BD6" s="1">
        <v>7.7569999999999997</v>
      </c>
      <c r="BE6" s="1">
        <v>7.7939999999999996</v>
      </c>
      <c r="BF6" s="1">
        <v>9.8819999999999997</v>
      </c>
      <c r="BG6" s="1">
        <v>10.272</v>
      </c>
      <c r="BH6" s="1">
        <v>10.186999999999999</v>
      </c>
      <c r="BI6" s="1">
        <v>12.907999999999999</v>
      </c>
      <c r="BJ6" s="1">
        <v>9.4710000000000001</v>
      </c>
      <c r="BK6" s="1">
        <v>8.3759999999999994</v>
      </c>
      <c r="BL6" s="1">
        <v>6.5869999999999997</v>
      </c>
      <c r="BM6" s="1">
        <v>8.6359999999999992</v>
      </c>
      <c r="BN6" s="1">
        <v>9.2690000000000001</v>
      </c>
      <c r="BO6" s="1">
        <v>9.202</v>
      </c>
      <c r="BP6" s="1">
        <v>2.121</v>
      </c>
    </row>
    <row r="7" spans="1:68" x14ac:dyDescent="0.3">
      <c r="A7" s="1" t="s">
        <v>91</v>
      </c>
      <c r="B7" s="1">
        <v>4.367</v>
      </c>
      <c r="C7" s="1">
        <v>6.18</v>
      </c>
      <c r="D7" s="1">
        <v>3.2770000000000001</v>
      </c>
      <c r="E7" s="1">
        <v>1.8009999999999999</v>
      </c>
      <c r="F7" s="1">
        <v>5.351</v>
      </c>
      <c r="G7" s="1">
        <v>3.5659999999999998</v>
      </c>
      <c r="H7" s="1">
        <v>4.8410000000000002</v>
      </c>
      <c r="I7" s="1">
        <v>4.2130000000000001</v>
      </c>
      <c r="J7" s="1">
        <v>5.0819999999999999</v>
      </c>
      <c r="K7" s="1">
        <v>4.6909999999999998</v>
      </c>
      <c r="L7" s="1">
        <v>2.8940000000000001</v>
      </c>
      <c r="M7" s="1">
        <v>5.7779999999999996</v>
      </c>
      <c r="N7" s="1">
        <v>7.9729999999999999</v>
      </c>
      <c r="O7" s="1">
        <v>2.96</v>
      </c>
      <c r="P7" s="1">
        <v>2.359</v>
      </c>
      <c r="Q7" s="1">
        <v>5.0529999999999999</v>
      </c>
      <c r="R7" s="1">
        <v>4.0419999999999998</v>
      </c>
      <c r="S7" s="1">
        <v>4.0469999999999997</v>
      </c>
      <c r="T7" s="1">
        <v>6.62</v>
      </c>
      <c r="U7" s="1">
        <v>5.1459999999999999</v>
      </c>
      <c r="V7" s="1">
        <v>1.647</v>
      </c>
      <c r="W7" s="1">
        <v>6.0730000000000004</v>
      </c>
      <c r="X7" s="1">
        <v>7.673</v>
      </c>
      <c r="Y7" s="1">
        <v>4.7009999999999996</v>
      </c>
      <c r="Z7" s="1">
        <v>5.3520000000000003</v>
      </c>
      <c r="AA7" s="1">
        <v>5.641</v>
      </c>
      <c r="AB7" s="1">
        <v>2.8479999999999999</v>
      </c>
      <c r="AC7" s="1">
        <v>3.7330000000000001</v>
      </c>
      <c r="AD7" s="1">
        <v>3.7839999999999998</v>
      </c>
      <c r="AE7" s="1">
        <v>7.3179999999999996</v>
      </c>
      <c r="AF7" s="1">
        <v>8.798</v>
      </c>
      <c r="AG7" s="1">
        <v>4.0910000000000002</v>
      </c>
      <c r="AH7" s="1">
        <v>4.3710000000000004</v>
      </c>
      <c r="AI7" s="1">
        <v>6.133</v>
      </c>
      <c r="AJ7" s="1">
        <v>5.2430000000000003</v>
      </c>
      <c r="AK7" s="1">
        <v>5.0259999999999998</v>
      </c>
      <c r="AL7" s="1">
        <v>4.8789999999999996</v>
      </c>
      <c r="AM7" s="1">
        <v>2.9590000000000001</v>
      </c>
      <c r="AN7" s="1">
        <v>4.8079999999999998</v>
      </c>
      <c r="AO7" s="1">
        <v>3.976</v>
      </c>
      <c r="AP7" s="1">
        <v>6.0129999999999999</v>
      </c>
      <c r="AQ7" s="1">
        <v>3.2829999999999999</v>
      </c>
      <c r="AR7" s="1">
        <v>4.2859999999999996</v>
      </c>
      <c r="AS7" s="1">
        <v>4.875</v>
      </c>
      <c r="AT7" s="1">
        <v>5.0439999999999996</v>
      </c>
      <c r="AU7" s="1">
        <v>2.968</v>
      </c>
      <c r="AV7" s="1">
        <v>4.4850000000000003</v>
      </c>
      <c r="AW7" s="1">
        <v>7.9059999999999997</v>
      </c>
      <c r="AX7" s="1">
        <v>0.63900000000000001</v>
      </c>
      <c r="AY7" s="1">
        <v>3.36</v>
      </c>
      <c r="AZ7" s="1">
        <v>4.2539999999999996</v>
      </c>
      <c r="BA7" s="1">
        <v>3.258</v>
      </c>
      <c r="BB7" s="1">
        <v>6.1420000000000003</v>
      </c>
      <c r="BC7" s="1">
        <v>4.2240000000000002</v>
      </c>
      <c r="BD7" s="1">
        <v>5.6219999999999999</v>
      </c>
      <c r="BE7" s="1">
        <v>2.976</v>
      </c>
      <c r="BF7" s="1">
        <v>3.597</v>
      </c>
      <c r="BG7" s="1">
        <v>5.9569999999999999</v>
      </c>
      <c r="BH7" s="1">
        <v>5.23</v>
      </c>
      <c r="BI7" s="1">
        <v>6.2969999999999997</v>
      </c>
      <c r="BJ7" s="1">
        <v>4.6449999999999996</v>
      </c>
      <c r="BK7" s="1">
        <v>5.2949999999999999</v>
      </c>
      <c r="BL7" s="1">
        <v>4.0540000000000003</v>
      </c>
      <c r="BM7" s="1">
        <v>4.5069999999999997</v>
      </c>
      <c r="BN7" s="1">
        <v>4.7720000000000002</v>
      </c>
      <c r="BO7" s="1">
        <v>6.9210000000000003</v>
      </c>
      <c r="BP7" s="1">
        <v>1.6919999999999999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6DFB-B2FB-426C-B091-9F55D3BD3339}">
  <dimension ref="A1:G67"/>
  <sheetViews>
    <sheetView tabSelected="1" workbookViewId="0">
      <selection activeCell="L4" sqref="L4"/>
    </sheetView>
  </sheetViews>
  <sheetFormatPr defaultRowHeight="14.4" x14ac:dyDescent="0.3"/>
  <cols>
    <col min="1" max="1" width="15.33203125" bestFit="1" customWidth="1"/>
    <col min="2" max="2" width="10" bestFit="1" customWidth="1"/>
    <col min="7" max="7" width="10" bestFit="1" customWidth="1"/>
  </cols>
  <sheetData>
    <row r="1" spans="1:7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5" t="s">
        <v>99</v>
      </c>
    </row>
    <row r="2" spans="1:7" x14ac:dyDescent="0.3">
      <c r="A2" s="1" t="s">
        <v>21</v>
      </c>
      <c r="B2" s="1">
        <v>6342.4539999999997</v>
      </c>
      <c r="C2" s="1">
        <v>260.483</v>
      </c>
      <c r="D2" s="1">
        <v>0</v>
      </c>
      <c r="E2" s="1">
        <v>-29.027999999999999</v>
      </c>
      <c r="F2" s="1">
        <v>46.851999999999997</v>
      </c>
      <c r="G2" s="5">
        <f t="array" ref="G2">SUM(B2:F2)</f>
        <v>6620.7609999999995</v>
      </c>
    </row>
    <row r="3" spans="1:7" x14ac:dyDescent="0.3">
      <c r="A3" s="1" t="s">
        <v>76</v>
      </c>
      <c r="B3" s="1">
        <v>1981.432</v>
      </c>
      <c r="C3" s="1">
        <v>153.13399999999999</v>
      </c>
      <c r="D3" s="1">
        <v>0</v>
      </c>
      <c r="E3" s="1">
        <v>-3.4430000000000001</v>
      </c>
      <c r="F3" s="1">
        <v>0.14699999999999999</v>
      </c>
      <c r="G3" s="5">
        <f t="array" ref="G3">SUM(B3:F3)</f>
        <v>2131.2699999999995</v>
      </c>
    </row>
    <row r="4" spans="1:7" x14ac:dyDescent="0.3">
      <c r="A4" s="1" t="s">
        <v>49</v>
      </c>
      <c r="B4" s="1">
        <v>1467.579</v>
      </c>
      <c r="C4" s="1">
        <v>172.84</v>
      </c>
      <c r="D4" s="1">
        <v>0</v>
      </c>
      <c r="E4" s="1">
        <v>-4.6580000000000004</v>
      </c>
      <c r="F4" s="1">
        <v>0.04</v>
      </c>
      <c r="G4" s="5">
        <f t="array" ref="G4">SUM(B4:F4)</f>
        <v>1635.8009999999999</v>
      </c>
    </row>
    <row r="5" spans="1:7" x14ac:dyDescent="0.3">
      <c r="A5" s="1" t="s">
        <v>32</v>
      </c>
      <c r="B5" s="1">
        <v>1414.4770000000001</v>
      </c>
      <c r="C5" s="1">
        <v>147.21299999999999</v>
      </c>
      <c r="D5" s="1">
        <v>0</v>
      </c>
      <c r="E5" s="1">
        <v>-2.5830000000000002</v>
      </c>
      <c r="F5" s="1">
        <v>4.3999999999999997E-2</v>
      </c>
      <c r="G5" s="5">
        <f t="array" ref="G5">SUM(B5:F5)</f>
        <v>1559.1510000000001</v>
      </c>
    </row>
    <row r="6" spans="1:7" x14ac:dyDescent="0.3">
      <c r="A6" s="1" t="s">
        <v>71</v>
      </c>
      <c r="B6" s="1">
        <v>1324.298</v>
      </c>
      <c r="C6" s="1">
        <v>162.57599999999999</v>
      </c>
      <c r="D6" s="1">
        <v>0</v>
      </c>
      <c r="E6" s="1">
        <v>-1.577</v>
      </c>
      <c r="F6" s="1">
        <v>3.7999999999999999E-2</v>
      </c>
      <c r="G6" s="5">
        <f t="array" ref="G6">SUM(B6:F6)</f>
        <v>1485.335</v>
      </c>
    </row>
    <row r="7" spans="1:7" x14ac:dyDescent="0.3">
      <c r="A7" s="1" t="s">
        <v>38</v>
      </c>
      <c r="B7" s="1">
        <v>1327.653</v>
      </c>
      <c r="C7" s="1">
        <v>156.333</v>
      </c>
      <c r="D7" s="1">
        <v>0</v>
      </c>
      <c r="E7" s="1">
        <v>-7.3150000000000004</v>
      </c>
      <c r="F7" s="1">
        <v>5.7000000000000002E-2</v>
      </c>
      <c r="G7" s="5">
        <f t="array" ref="G7">SUM(B7:F7)</f>
        <v>1476.7280000000001</v>
      </c>
    </row>
    <row r="8" spans="1:7" x14ac:dyDescent="0.3">
      <c r="A8" s="1" t="s">
        <v>55</v>
      </c>
      <c r="B8" s="1">
        <v>1000.61</v>
      </c>
      <c r="C8" s="1">
        <v>77.498000000000005</v>
      </c>
      <c r="D8" s="1">
        <v>0</v>
      </c>
      <c r="E8" s="1">
        <v>-0.42599999999999999</v>
      </c>
      <c r="F8" s="1">
        <v>2.3E-2</v>
      </c>
      <c r="G8" s="5">
        <f t="array" ref="G8">SUM(B8:F8)</f>
        <v>1077.7049999999999</v>
      </c>
    </row>
    <row r="9" spans="1:7" x14ac:dyDescent="0.3">
      <c r="A9" s="1" t="s">
        <v>75</v>
      </c>
      <c r="B9" s="1">
        <v>934.01300000000003</v>
      </c>
      <c r="C9" s="1">
        <v>101.03</v>
      </c>
      <c r="D9" s="1">
        <v>0</v>
      </c>
      <c r="E9" s="1">
        <v>4.5410000000000004</v>
      </c>
      <c r="F9" s="1">
        <v>5.7000000000000002E-2</v>
      </c>
      <c r="G9" s="5">
        <f t="array" ref="G9">SUM(B9:F9)</f>
        <v>1039.6410000000001</v>
      </c>
    </row>
    <row r="10" spans="1:7" x14ac:dyDescent="0.3">
      <c r="A10" s="1" t="s">
        <v>39</v>
      </c>
      <c r="B10" s="1">
        <v>842.78800000000001</v>
      </c>
      <c r="C10" s="1">
        <v>146.64599999999999</v>
      </c>
      <c r="D10" s="1">
        <v>0</v>
      </c>
      <c r="E10" s="1">
        <v>-3.8690000000000002</v>
      </c>
      <c r="F10" s="1">
        <v>4.4999999999999998E-2</v>
      </c>
      <c r="G10" s="5">
        <f t="array" ref="G10">SUM(B10:F10)</f>
        <v>985.6099999999999</v>
      </c>
    </row>
    <row r="11" spans="1:7" x14ac:dyDescent="0.3">
      <c r="A11" s="1" t="s">
        <v>45</v>
      </c>
      <c r="B11" s="1">
        <v>890.05700000000002</v>
      </c>
      <c r="C11" s="1">
        <v>95.945999999999998</v>
      </c>
      <c r="D11" s="1">
        <v>0</v>
      </c>
      <c r="E11" s="1">
        <v>-3.214</v>
      </c>
      <c r="F11" s="1">
        <v>7.0999999999999994E-2</v>
      </c>
      <c r="G11" s="5">
        <f t="array" ref="G11">SUM(B11:F11)</f>
        <v>982.86</v>
      </c>
    </row>
    <row r="12" spans="1:7" x14ac:dyDescent="0.3">
      <c r="A12" s="1" t="s">
        <v>78</v>
      </c>
      <c r="B12" s="1">
        <v>856.04899999999998</v>
      </c>
      <c r="C12" s="1">
        <v>115.83799999999999</v>
      </c>
      <c r="D12" s="1">
        <v>0</v>
      </c>
      <c r="E12" s="1">
        <v>-20.847999999999999</v>
      </c>
      <c r="F12" s="1">
        <v>4.1000000000000002E-2</v>
      </c>
      <c r="G12" s="5">
        <f t="array" ref="G12">SUM(B12:F12)</f>
        <v>951.08</v>
      </c>
    </row>
    <row r="13" spans="1:7" x14ac:dyDescent="0.3">
      <c r="A13" s="1" t="s">
        <v>35</v>
      </c>
      <c r="B13" s="1">
        <v>836.08500000000004</v>
      </c>
      <c r="C13" s="1">
        <v>61.003</v>
      </c>
      <c r="D13" s="1">
        <v>0</v>
      </c>
      <c r="E13" s="1">
        <v>-0.23799999999999999</v>
      </c>
      <c r="F13" s="1">
        <v>1.7070000000000001</v>
      </c>
      <c r="G13" s="5">
        <f t="array" ref="G13">SUM(B13:F13)</f>
        <v>898.55700000000002</v>
      </c>
    </row>
    <row r="14" spans="1:7" x14ac:dyDescent="0.3">
      <c r="A14" s="1" t="s">
        <v>57</v>
      </c>
      <c r="B14" s="1">
        <v>729.30200000000002</v>
      </c>
      <c r="C14" s="1">
        <v>77.561000000000007</v>
      </c>
      <c r="D14" s="1">
        <v>0</v>
      </c>
      <c r="E14" s="1">
        <v>-3.7090000000000001</v>
      </c>
      <c r="F14" s="1">
        <v>2.5000000000000001E-2</v>
      </c>
      <c r="G14" s="5">
        <f t="array" ref="G14">SUM(B14:F14)</f>
        <v>803.17900000000009</v>
      </c>
    </row>
    <row r="15" spans="1:7" x14ac:dyDescent="0.3">
      <c r="A15" s="1" t="s">
        <v>19</v>
      </c>
      <c r="B15" s="1">
        <v>625.89300000000003</v>
      </c>
      <c r="C15" s="1">
        <v>66.822999999999993</v>
      </c>
      <c r="D15" s="1">
        <v>0</v>
      </c>
      <c r="E15" s="1">
        <v>-3.26</v>
      </c>
      <c r="F15" s="1">
        <v>3.6999999999999998E-2</v>
      </c>
      <c r="G15" s="5">
        <f t="array" ref="G15">SUM(B15:F15)</f>
        <v>689.49300000000005</v>
      </c>
    </row>
    <row r="16" spans="1:7" x14ac:dyDescent="0.3">
      <c r="A16" s="1" t="s">
        <v>58</v>
      </c>
      <c r="B16" s="1">
        <v>623.93100000000004</v>
      </c>
      <c r="C16" s="1">
        <v>63.875</v>
      </c>
      <c r="D16" s="1">
        <v>0</v>
      </c>
      <c r="E16" s="1">
        <v>-10.689</v>
      </c>
      <c r="F16" s="1">
        <v>2.1000000000000001E-2</v>
      </c>
      <c r="G16" s="5">
        <f t="array" ref="G16">SUM(B16:F16)</f>
        <v>677.13800000000003</v>
      </c>
    </row>
    <row r="17" spans="1:7" x14ac:dyDescent="0.3">
      <c r="A17" s="1" t="s">
        <v>63</v>
      </c>
      <c r="B17" s="1">
        <v>636.17200000000003</v>
      </c>
      <c r="C17" s="1">
        <v>38.31</v>
      </c>
      <c r="D17" s="1">
        <v>0</v>
      </c>
      <c r="E17" s="1">
        <v>-3.2349999999999999</v>
      </c>
      <c r="F17" s="1">
        <v>3.6999999999999998E-2</v>
      </c>
      <c r="G17" s="5">
        <f t="array" ref="G17">SUM(B17:F17)</f>
        <v>671.28399999999999</v>
      </c>
    </row>
    <row r="18" spans="1:7" x14ac:dyDescent="0.3">
      <c r="A18" s="1" t="s">
        <v>70</v>
      </c>
      <c r="B18" s="1">
        <v>597.45699999999999</v>
      </c>
      <c r="C18" s="1">
        <v>63.511000000000003</v>
      </c>
      <c r="D18" s="1">
        <v>0</v>
      </c>
      <c r="E18" s="1">
        <v>-11.097</v>
      </c>
      <c r="F18" s="1">
        <v>2.5000000000000001E-2</v>
      </c>
      <c r="G18" s="5">
        <f t="array" ref="G18">SUM(B18:F18)</f>
        <v>649.89599999999996</v>
      </c>
    </row>
    <row r="19" spans="1:7" x14ac:dyDescent="0.3">
      <c r="A19" s="1" t="s">
        <v>29</v>
      </c>
      <c r="B19" s="1">
        <v>546.947</v>
      </c>
      <c r="C19" s="1">
        <v>96.522999999999996</v>
      </c>
      <c r="D19" s="1">
        <v>0</v>
      </c>
      <c r="E19" s="1">
        <v>-8.2789999999999999</v>
      </c>
      <c r="F19" s="1">
        <v>3.3000000000000002E-2</v>
      </c>
      <c r="G19" s="5">
        <f t="array" ref="G19">SUM(B19:F19)</f>
        <v>635.22400000000005</v>
      </c>
    </row>
    <row r="20" spans="1:7" x14ac:dyDescent="0.3">
      <c r="A20" s="1" t="s">
        <v>74</v>
      </c>
      <c r="B20" s="1">
        <v>579.65599999999995</v>
      </c>
      <c r="C20" s="1">
        <v>52.594999999999999</v>
      </c>
      <c r="D20" s="1">
        <v>0</v>
      </c>
      <c r="E20" s="1">
        <v>-1.964</v>
      </c>
      <c r="F20" s="1">
        <v>1.9E-2</v>
      </c>
      <c r="G20" s="5">
        <f t="array" ref="G20">SUM(B20:F20)</f>
        <v>630.30599999999993</v>
      </c>
    </row>
    <row r="21" spans="1:7" x14ac:dyDescent="0.3">
      <c r="A21" s="1" t="s">
        <v>65</v>
      </c>
      <c r="B21" s="1">
        <v>588.54100000000005</v>
      </c>
      <c r="C21" s="1">
        <v>17.905999999999999</v>
      </c>
      <c r="D21" s="1">
        <v>0</v>
      </c>
      <c r="E21" s="1">
        <v>2.5230000000000001</v>
      </c>
      <c r="F21" s="1">
        <v>5.8999999999999997E-2</v>
      </c>
      <c r="G21" s="5">
        <f t="array" ref="G21">SUM(B21:F21)</f>
        <v>609.029</v>
      </c>
    </row>
    <row r="22" spans="1:7" x14ac:dyDescent="0.3">
      <c r="A22" s="1" t="s">
        <v>61</v>
      </c>
      <c r="B22" s="1">
        <v>530.48299999999995</v>
      </c>
      <c r="C22" s="1">
        <v>64.745999999999995</v>
      </c>
      <c r="D22" s="1">
        <v>0</v>
      </c>
      <c r="E22" s="1">
        <v>0.14199999999999999</v>
      </c>
      <c r="F22" s="1">
        <v>0.01</v>
      </c>
      <c r="G22" s="5">
        <f t="array" ref="G22">SUM(B22:F22)</f>
        <v>595.38099999999997</v>
      </c>
    </row>
    <row r="23" spans="1:7" x14ac:dyDescent="0.3">
      <c r="A23" s="1" t="s">
        <v>33</v>
      </c>
      <c r="B23" s="1">
        <v>529.947</v>
      </c>
      <c r="C23" s="1">
        <v>58.994</v>
      </c>
      <c r="D23" s="1">
        <v>0</v>
      </c>
      <c r="E23" s="1">
        <v>-3.9620000000000002</v>
      </c>
      <c r="F23" s="1">
        <v>1.2999999999999999E-2</v>
      </c>
      <c r="G23" s="5">
        <f t="array" ref="G23">SUM(B23:F23)</f>
        <v>584.99200000000008</v>
      </c>
    </row>
    <row r="24" spans="1:7" x14ac:dyDescent="0.3">
      <c r="A24" s="1" t="s">
        <v>56</v>
      </c>
      <c r="B24" s="1">
        <v>573.89</v>
      </c>
      <c r="C24" s="1">
        <v>8.8119999999999994</v>
      </c>
      <c r="D24" s="1">
        <v>0</v>
      </c>
      <c r="E24" s="1">
        <v>-6.8170000000000002</v>
      </c>
      <c r="F24" s="1">
        <v>0.02</v>
      </c>
      <c r="G24" s="5">
        <f t="array" ref="G24">SUM(B24:F24)</f>
        <v>575.90499999999997</v>
      </c>
    </row>
    <row r="25" spans="1:7" x14ac:dyDescent="0.3">
      <c r="A25" s="1" t="s">
        <v>50</v>
      </c>
      <c r="B25" s="1">
        <v>522.17399999999998</v>
      </c>
      <c r="C25" s="1">
        <v>43.481000000000002</v>
      </c>
      <c r="D25" s="1">
        <v>0</v>
      </c>
      <c r="E25" s="1">
        <v>-1.7849999999999999</v>
      </c>
      <c r="F25" s="1">
        <v>1.4999999999999999E-2</v>
      </c>
      <c r="G25" s="5">
        <f t="array" ref="G25">SUM(B25:F25)</f>
        <v>563.88499999999999</v>
      </c>
    </row>
    <row r="26" spans="1:7" x14ac:dyDescent="0.3">
      <c r="A26" s="1" t="s">
        <v>23</v>
      </c>
      <c r="B26" s="1">
        <v>504.24900000000002</v>
      </c>
      <c r="C26" s="1">
        <v>54.043999999999997</v>
      </c>
      <c r="D26" s="1">
        <v>0</v>
      </c>
      <c r="E26" s="1">
        <v>-0.625</v>
      </c>
      <c r="F26" s="1">
        <v>1.4E-2</v>
      </c>
      <c r="G26" s="5">
        <f t="array" ref="G26">SUM(B26:F26)</f>
        <v>557.68200000000002</v>
      </c>
    </row>
    <row r="27" spans="1:7" x14ac:dyDescent="0.3">
      <c r="A27" s="1" t="s">
        <v>72</v>
      </c>
      <c r="B27" s="1">
        <v>498.42599999999999</v>
      </c>
      <c r="C27" s="1">
        <v>40.773000000000003</v>
      </c>
      <c r="D27" s="1">
        <v>0</v>
      </c>
      <c r="E27" s="1">
        <v>-0.27</v>
      </c>
      <c r="F27" s="1">
        <v>1.0999999999999999E-2</v>
      </c>
      <c r="G27" s="5">
        <f t="array" ref="G27">SUM(B27:F27)</f>
        <v>538.93999999999994</v>
      </c>
    </row>
    <row r="28" spans="1:7" x14ac:dyDescent="0.3">
      <c r="A28" s="1" t="s">
        <v>73</v>
      </c>
      <c r="B28" s="1">
        <v>446.17099999999999</v>
      </c>
      <c r="C28" s="1">
        <v>78.622</v>
      </c>
      <c r="D28" s="1">
        <v>0</v>
      </c>
      <c r="E28" s="1">
        <v>4.6020000000000003</v>
      </c>
      <c r="F28" s="1">
        <v>1.4999999999999999E-2</v>
      </c>
      <c r="G28" s="5">
        <f t="array" ref="G28">SUM(B28:F28)</f>
        <v>529.41</v>
      </c>
    </row>
    <row r="29" spans="1:7" x14ac:dyDescent="0.3">
      <c r="A29" s="1" t="s">
        <v>53</v>
      </c>
      <c r="B29" s="1">
        <v>451.94600000000003</v>
      </c>
      <c r="C29" s="1">
        <v>65.123999999999995</v>
      </c>
      <c r="D29" s="1">
        <v>0</v>
      </c>
      <c r="E29" s="1">
        <v>-3.681</v>
      </c>
      <c r="F29" s="1">
        <v>4.1000000000000002E-2</v>
      </c>
      <c r="G29" s="5">
        <f t="array" ref="G29">SUM(B29:F29)</f>
        <v>513.43000000000006</v>
      </c>
    </row>
    <row r="30" spans="1:7" x14ac:dyDescent="0.3">
      <c r="A30" s="1" t="s">
        <v>47</v>
      </c>
      <c r="B30" s="1">
        <v>452.42</v>
      </c>
      <c r="C30" s="1">
        <v>44.938000000000002</v>
      </c>
      <c r="D30" s="1">
        <v>0</v>
      </c>
      <c r="E30" s="1">
        <v>-12.176</v>
      </c>
      <c r="F30" s="1">
        <v>1.7000000000000001E-2</v>
      </c>
      <c r="G30" s="5">
        <f t="array" ref="G30">SUM(B30:F30)</f>
        <v>485.19900000000001</v>
      </c>
    </row>
    <row r="31" spans="1:7" x14ac:dyDescent="0.3">
      <c r="A31" s="1" t="s">
        <v>66</v>
      </c>
      <c r="B31" s="1">
        <v>435.166</v>
      </c>
      <c r="C31" s="1">
        <v>48.773000000000003</v>
      </c>
      <c r="D31" s="1">
        <v>0</v>
      </c>
      <c r="E31" s="1">
        <v>-0.88100000000000001</v>
      </c>
      <c r="F31" s="1">
        <v>6.0000000000000001E-3</v>
      </c>
      <c r="G31" s="5">
        <f t="array" ref="G31">SUM(B31:F31)</f>
        <v>483.06400000000002</v>
      </c>
    </row>
    <row r="32" spans="1:7" x14ac:dyDescent="0.3">
      <c r="A32" s="1" t="s">
        <v>30</v>
      </c>
      <c r="B32" s="1">
        <v>441.49099999999999</v>
      </c>
      <c r="C32" s="1">
        <v>35.637</v>
      </c>
      <c r="D32" s="1">
        <v>0</v>
      </c>
      <c r="E32" s="1">
        <v>-0.55400000000000005</v>
      </c>
      <c r="F32" s="1">
        <v>8.0000000000000002E-3</v>
      </c>
      <c r="G32" s="5">
        <f t="array" ref="G32">SUM(B32:F32)</f>
        <v>476.58199999999999</v>
      </c>
    </row>
    <row r="33" spans="1:7" x14ac:dyDescent="0.3">
      <c r="A33" s="1" t="s">
        <v>15</v>
      </c>
      <c r="B33" s="1">
        <v>439.51600000000002</v>
      </c>
      <c r="C33" s="1">
        <v>41.271999999999998</v>
      </c>
      <c r="D33" s="1">
        <v>0</v>
      </c>
      <c r="E33" s="1">
        <v>-13.853</v>
      </c>
      <c r="F33" s="1">
        <v>0.02</v>
      </c>
      <c r="G33" s="5">
        <f t="array" ref="G33">SUM(B33:F33)</f>
        <v>466.95499999999998</v>
      </c>
    </row>
    <row r="34" spans="1:7" x14ac:dyDescent="0.3">
      <c r="A34" s="1" t="s">
        <v>34</v>
      </c>
      <c r="B34" s="1">
        <v>510.41300000000001</v>
      </c>
      <c r="C34" s="1">
        <v>-49.680999999999997</v>
      </c>
      <c r="D34" s="1">
        <v>0</v>
      </c>
      <c r="E34" s="1">
        <v>-1.083</v>
      </c>
      <c r="F34" s="1">
        <v>2.1000000000000001E-2</v>
      </c>
      <c r="G34" s="5">
        <f t="array" ref="G34">SUM(B34:F34)</f>
        <v>459.67</v>
      </c>
    </row>
    <row r="35" spans="1:7" x14ac:dyDescent="0.3">
      <c r="A35" s="1" t="s">
        <v>77</v>
      </c>
      <c r="B35" s="1">
        <v>420.505</v>
      </c>
      <c r="C35" s="1">
        <v>35.722999999999999</v>
      </c>
      <c r="D35" s="1">
        <v>0</v>
      </c>
      <c r="E35" s="1">
        <v>0.05</v>
      </c>
      <c r="F35" s="1">
        <v>0.02</v>
      </c>
      <c r="G35" s="5">
        <f t="array" ref="G35">SUM(B35:F35)</f>
        <v>456.298</v>
      </c>
    </row>
    <row r="36" spans="1:7" x14ac:dyDescent="0.3">
      <c r="A36" s="1" t="s">
        <v>62</v>
      </c>
      <c r="B36" s="1">
        <v>410.69499999999999</v>
      </c>
      <c r="C36" s="1">
        <v>41.027000000000001</v>
      </c>
      <c r="D36" s="1">
        <v>0</v>
      </c>
      <c r="E36" s="1">
        <v>-0.98499999999999999</v>
      </c>
      <c r="F36" s="1">
        <v>8.0000000000000002E-3</v>
      </c>
      <c r="G36" s="5">
        <f t="array" ref="G36">SUM(B36:F36)</f>
        <v>450.74499999999995</v>
      </c>
    </row>
    <row r="37" spans="1:7" x14ac:dyDescent="0.3">
      <c r="A37" s="1" t="s">
        <v>54</v>
      </c>
      <c r="B37" s="1">
        <v>407.38299999999998</v>
      </c>
      <c r="C37" s="1">
        <v>30.190999999999999</v>
      </c>
      <c r="D37" s="1">
        <v>0</v>
      </c>
      <c r="E37" s="1">
        <v>0.34799999999999998</v>
      </c>
      <c r="F37" s="1">
        <v>1.2999999999999999E-2</v>
      </c>
      <c r="G37" s="5">
        <f t="array" ref="G37">SUM(B37:F37)</f>
        <v>437.93499999999995</v>
      </c>
    </row>
    <row r="38" spans="1:7" x14ac:dyDescent="0.3">
      <c r="A38" s="1" t="s">
        <v>43</v>
      </c>
      <c r="B38" s="1">
        <v>382.76499999999999</v>
      </c>
      <c r="C38" s="1">
        <v>26.388999999999999</v>
      </c>
      <c r="D38" s="1">
        <v>0</v>
      </c>
      <c r="E38" s="1">
        <v>0.28799999999999998</v>
      </c>
      <c r="F38" s="1">
        <v>8.0000000000000002E-3</v>
      </c>
      <c r="G38" s="5">
        <f t="array" ref="G38">SUM(B38:F38)</f>
        <v>409.45</v>
      </c>
    </row>
    <row r="39" spans="1:7" x14ac:dyDescent="0.3">
      <c r="A39" s="1" t="s">
        <v>42</v>
      </c>
      <c r="B39" s="1">
        <v>361.45400000000001</v>
      </c>
      <c r="C39" s="1">
        <v>27.754000000000001</v>
      </c>
      <c r="D39" s="1">
        <v>0</v>
      </c>
      <c r="E39" s="1">
        <v>-0.999</v>
      </c>
      <c r="F39" s="1">
        <v>1.2999999999999999E-2</v>
      </c>
      <c r="G39" s="5">
        <f t="array" ref="G39">SUM(B39:F39)</f>
        <v>388.22199999999998</v>
      </c>
    </row>
    <row r="40" spans="1:7" x14ac:dyDescent="0.3">
      <c r="A40" s="1" t="s">
        <v>26</v>
      </c>
      <c r="B40" s="1">
        <v>363.81700000000001</v>
      </c>
      <c r="C40" s="1">
        <v>22.963000000000001</v>
      </c>
      <c r="D40" s="1">
        <v>0</v>
      </c>
      <c r="E40" s="1">
        <v>-5.3</v>
      </c>
      <c r="F40" s="1">
        <v>1.0999999999999999E-2</v>
      </c>
      <c r="G40" s="5">
        <f t="array" ref="G40">SUM(B40:F40)</f>
        <v>381.49100000000004</v>
      </c>
    </row>
    <row r="41" spans="1:7" x14ac:dyDescent="0.3">
      <c r="A41" s="1" t="s">
        <v>46</v>
      </c>
      <c r="B41" s="1">
        <v>351.35899999999998</v>
      </c>
      <c r="C41" s="1">
        <v>31.303000000000001</v>
      </c>
      <c r="D41" s="1">
        <v>0</v>
      </c>
      <c r="E41" s="1">
        <v>-2.1779999999999999</v>
      </c>
      <c r="F41" s="1">
        <v>1.2999999999999999E-2</v>
      </c>
      <c r="G41" s="5">
        <f t="array" ref="G41">SUM(B41:F41)</f>
        <v>380.49699999999996</v>
      </c>
    </row>
    <row r="42" spans="1:7" x14ac:dyDescent="0.3">
      <c r="A42" s="1" t="s">
        <v>44</v>
      </c>
      <c r="B42" s="1">
        <v>336.31</v>
      </c>
      <c r="C42" s="1">
        <v>25.295999999999999</v>
      </c>
      <c r="D42" s="1">
        <v>0</v>
      </c>
      <c r="E42" s="1">
        <v>0.115</v>
      </c>
      <c r="F42" s="1">
        <v>1.0999999999999999E-2</v>
      </c>
      <c r="G42" s="5">
        <f t="array" ref="G42">SUM(B42:F42)</f>
        <v>361.73200000000003</v>
      </c>
    </row>
    <row r="43" spans="1:7" x14ac:dyDescent="0.3">
      <c r="A43" s="1" t="s">
        <v>27</v>
      </c>
      <c r="B43" s="1">
        <v>349.23099999999999</v>
      </c>
      <c r="C43" s="1">
        <v>-1.302</v>
      </c>
      <c r="D43" s="1">
        <v>0</v>
      </c>
      <c r="E43" s="1">
        <v>-0.129</v>
      </c>
      <c r="F43" s="1">
        <v>1.4999999999999999E-2</v>
      </c>
      <c r="G43" s="5">
        <f t="array" ref="G43">SUM(B43:F43)</f>
        <v>347.81499999999994</v>
      </c>
    </row>
    <row r="44" spans="1:7" x14ac:dyDescent="0.3">
      <c r="A44" s="1" t="s">
        <v>69</v>
      </c>
      <c r="B44" s="1">
        <v>306.47000000000003</v>
      </c>
      <c r="C44" s="1">
        <v>34.264000000000003</v>
      </c>
      <c r="D44" s="1">
        <v>0</v>
      </c>
      <c r="E44" s="1">
        <v>-5.7510000000000003</v>
      </c>
      <c r="F44" s="1">
        <v>1.2999999999999999E-2</v>
      </c>
      <c r="G44" s="5">
        <f t="array" ref="G44">SUM(B44:F44)</f>
        <v>334.99600000000004</v>
      </c>
    </row>
    <row r="45" spans="1:7" x14ac:dyDescent="0.3">
      <c r="A45" s="1" t="s">
        <v>67</v>
      </c>
      <c r="B45" s="1">
        <v>297.14699999999999</v>
      </c>
      <c r="C45" s="1">
        <v>30.045999999999999</v>
      </c>
      <c r="D45" s="1">
        <v>0</v>
      </c>
      <c r="E45" s="1">
        <v>-2.484</v>
      </c>
      <c r="F45" s="1">
        <v>1.0999999999999999E-2</v>
      </c>
      <c r="G45" s="5">
        <f t="array" ref="G45">SUM(B45:F45)</f>
        <v>324.72000000000003</v>
      </c>
    </row>
    <row r="46" spans="1:7" x14ac:dyDescent="0.3">
      <c r="A46" s="1" t="s">
        <v>79</v>
      </c>
      <c r="B46" s="1">
        <v>304.03699999999998</v>
      </c>
      <c r="C46" s="1">
        <v>22.143000000000001</v>
      </c>
      <c r="D46" s="1">
        <v>0</v>
      </c>
      <c r="E46" s="1">
        <v>-3.1240000000000001</v>
      </c>
      <c r="F46" s="1">
        <v>1.0999999999999999E-2</v>
      </c>
      <c r="G46" s="5">
        <f t="array" ref="G46">SUM(B46:F46)</f>
        <v>323.06699999999995</v>
      </c>
    </row>
    <row r="47" spans="1:7" x14ac:dyDescent="0.3">
      <c r="A47" s="1" t="s">
        <v>14</v>
      </c>
      <c r="B47" s="1">
        <v>300.63200000000001</v>
      </c>
      <c r="C47" s="1">
        <v>13.209</v>
      </c>
      <c r="D47" s="1">
        <v>0</v>
      </c>
      <c r="E47" s="1">
        <v>-0.497</v>
      </c>
      <c r="F47" s="1">
        <v>6.0000000000000001E-3</v>
      </c>
      <c r="G47" s="5">
        <f t="array" ref="G47">SUM(B47:F47)</f>
        <v>313.34999999999997</v>
      </c>
    </row>
    <row r="48" spans="1:7" x14ac:dyDescent="0.3">
      <c r="A48" s="1" t="s">
        <v>22</v>
      </c>
      <c r="B48" s="1">
        <v>260.89999999999998</v>
      </c>
      <c r="C48" s="1">
        <v>31.190999999999999</v>
      </c>
      <c r="D48" s="1">
        <v>0</v>
      </c>
      <c r="E48" s="1">
        <v>1.1160000000000001</v>
      </c>
      <c r="F48" s="1">
        <v>5.0000000000000001E-3</v>
      </c>
      <c r="G48" s="5">
        <f t="array" ref="G48">SUM(B48:F48)</f>
        <v>293.21199999999993</v>
      </c>
    </row>
    <row r="49" spans="1:7" x14ac:dyDescent="0.3">
      <c r="A49" s="1" t="s">
        <v>41</v>
      </c>
      <c r="B49" s="1">
        <v>267.137</v>
      </c>
      <c r="C49" s="1">
        <v>25.651</v>
      </c>
      <c r="D49" s="1">
        <v>0</v>
      </c>
      <c r="E49" s="1">
        <v>-0.61099999999999999</v>
      </c>
      <c r="F49" s="1">
        <v>1.4E-2</v>
      </c>
      <c r="G49" s="5">
        <f t="array" ref="G49">SUM(B49:F49)</f>
        <v>292.19100000000003</v>
      </c>
    </row>
    <row r="50" spans="1:7" x14ac:dyDescent="0.3">
      <c r="A50" s="1" t="s">
        <v>68</v>
      </c>
      <c r="B50" s="1">
        <v>269.459</v>
      </c>
      <c r="C50" s="1">
        <v>21.44</v>
      </c>
      <c r="D50" s="1">
        <v>0</v>
      </c>
      <c r="E50" s="1">
        <v>-0.52400000000000002</v>
      </c>
      <c r="F50" s="1">
        <v>1.4999999999999999E-2</v>
      </c>
      <c r="G50" s="5">
        <f t="array" ref="G50">SUM(B50:F50)</f>
        <v>290.39</v>
      </c>
    </row>
    <row r="51" spans="1:7" x14ac:dyDescent="0.3">
      <c r="A51" s="1" t="s">
        <v>40</v>
      </c>
      <c r="B51" s="1">
        <v>254.45099999999999</v>
      </c>
      <c r="C51" s="1">
        <v>30.201000000000001</v>
      </c>
      <c r="D51" s="1">
        <v>0</v>
      </c>
      <c r="E51" s="1">
        <v>-2.544</v>
      </c>
      <c r="F51" s="1">
        <v>8.0000000000000002E-3</v>
      </c>
      <c r="G51" s="5">
        <f t="array" ref="G51">SUM(B51:F51)</f>
        <v>282.11599999999999</v>
      </c>
    </row>
    <row r="52" spans="1:7" x14ac:dyDescent="0.3">
      <c r="A52" s="1" t="s">
        <v>64</v>
      </c>
      <c r="B52" s="1">
        <v>253.34399999999999</v>
      </c>
      <c r="C52" s="1">
        <v>23.628</v>
      </c>
      <c r="D52" s="1">
        <v>0</v>
      </c>
      <c r="E52" s="1">
        <v>-0.56499999999999995</v>
      </c>
      <c r="F52" s="1">
        <v>8.9999999999999993E-3</v>
      </c>
      <c r="G52" s="5">
        <f t="array" ref="G52">SUM(B52:F52)</f>
        <v>276.416</v>
      </c>
    </row>
    <row r="53" spans="1:7" x14ac:dyDescent="0.3">
      <c r="A53" s="1" t="s">
        <v>20</v>
      </c>
      <c r="B53" s="1">
        <v>251.285</v>
      </c>
      <c r="C53" s="1">
        <v>15.135</v>
      </c>
      <c r="D53" s="1">
        <v>0</v>
      </c>
      <c r="E53" s="1">
        <v>-0.77100000000000002</v>
      </c>
      <c r="F53" s="1">
        <v>1.2999999999999999E-2</v>
      </c>
      <c r="G53" s="5">
        <f t="array" ref="G53">SUM(B53:F53)</f>
        <v>265.66199999999998</v>
      </c>
    </row>
    <row r="54" spans="1:7" x14ac:dyDescent="0.3">
      <c r="A54" s="1" t="s">
        <v>24</v>
      </c>
      <c r="B54" s="1">
        <v>241.24600000000001</v>
      </c>
      <c r="C54" s="1">
        <v>23.431999999999999</v>
      </c>
      <c r="D54" s="1">
        <v>0</v>
      </c>
      <c r="E54" s="1">
        <v>-2.1549999999999998</v>
      </c>
      <c r="F54" s="1">
        <v>6.0000000000000001E-3</v>
      </c>
      <c r="G54" s="5">
        <f t="array" ref="G54">SUM(B54:F54)</f>
        <v>262.529</v>
      </c>
    </row>
    <row r="55" spans="1:7" x14ac:dyDescent="0.3">
      <c r="A55" s="1" t="s">
        <v>25</v>
      </c>
      <c r="B55" s="1">
        <v>225.179</v>
      </c>
      <c r="C55" s="1">
        <v>25.94</v>
      </c>
      <c r="D55" s="1">
        <v>0</v>
      </c>
      <c r="E55" s="1">
        <v>-4.16</v>
      </c>
      <c r="F55" s="1">
        <v>7.0000000000000001E-3</v>
      </c>
      <c r="G55" s="5">
        <f t="array" ref="G55">SUM(B55:F55)</f>
        <v>246.96600000000001</v>
      </c>
    </row>
    <row r="56" spans="1:7" x14ac:dyDescent="0.3">
      <c r="A56" s="1" t="s">
        <v>16</v>
      </c>
      <c r="B56" s="1">
        <v>215.05699999999999</v>
      </c>
      <c r="C56" s="1">
        <v>17.268999999999998</v>
      </c>
      <c r="D56" s="1">
        <v>0</v>
      </c>
      <c r="E56" s="1">
        <v>9.4E-2</v>
      </c>
      <c r="F56" s="1">
        <v>5.0000000000000001E-3</v>
      </c>
      <c r="G56" s="5">
        <f t="array" ref="G56">SUM(B56:F56)</f>
        <v>232.42499999999998</v>
      </c>
    </row>
    <row r="57" spans="1:7" x14ac:dyDescent="0.3">
      <c r="A57" s="1" t="s">
        <v>52</v>
      </c>
      <c r="B57" s="1">
        <v>210.58600000000001</v>
      </c>
      <c r="C57" s="1">
        <v>21.423999999999999</v>
      </c>
      <c r="D57" s="1">
        <v>0</v>
      </c>
      <c r="E57" s="1">
        <v>-6.7350000000000003</v>
      </c>
      <c r="F57" s="1">
        <v>8.0000000000000002E-3</v>
      </c>
      <c r="G57" s="5">
        <f t="array" ref="G57">SUM(B57:F57)</f>
        <v>225.28300000000002</v>
      </c>
    </row>
    <row r="58" spans="1:7" x14ac:dyDescent="0.3">
      <c r="A58" s="1" t="s">
        <v>18</v>
      </c>
      <c r="B58" s="1">
        <v>175.33500000000001</v>
      </c>
      <c r="C58" s="1">
        <v>13.601000000000001</v>
      </c>
      <c r="D58" s="1">
        <v>0</v>
      </c>
      <c r="E58" s="1">
        <v>-0.63400000000000001</v>
      </c>
      <c r="F58" s="1">
        <v>3.0000000000000001E-3</v>
      </c>
      <c r="G58" s="5">
        <f t="array" ref="G58">SUM(B58:F58)</f>
        <v>188.30500000000001</v>
      </c>
    </row>
    <row r="59" spans="1:7" x14ac:dyDescent="0.3">
      <c r="A59" s="1" t="s">
        <v>37</v>
      </c>
      <c r="B59" s="1">
        <v>159.80099999999999</v>
      </c>
      <c r="C59" s="1">
        <v>14.311999999999999</v>
      </c>
      <c r="D59" s="1">
        <v>0</v>
      </c>
      <c r="E59" s="1">
        <v>-0.432</v>
      </c>
      <c r="F59" s="1">
        <v>5.0000000000000001E-3</v>
      </c>
      <c r="G59" s="5">
        <f t="array" ref="G59">SUM(B59:F59)</f>
        <v>173.68600000000001</v>
      </c>
    </row>
    <row r="60" spans="1:7" x14ac:dyDescent="0.3">
      <c r="A60" s="1" t="s">
        <v>31</v>
      </c>
      <c r="B60" s="1">
        <v>141.988</v>
      </c>
      <c r="C60" s="1">
        <v>11.435</v>
      </c>
      <c r="D60" s="1">
        <v>0</v>
      </c>
      <c r="E60" s="1">
        <v>-1.022</v>
      </c>
      <c r="F60" s="1">
        <v>4.0000000000000001E-3</v>
      </c>
      <c r="G60" s="5">
        <f t="array" ref="G60">SUM(B60:F60)</f>
        <v>152.405</v>
      </c>
    </row>
    <row r="61" spans="1:7" x14ac:dyDescent="0.3">
      <c r="A61" s="1" t="s">
        <v>17</v>
      </c>
      <c r="B61" s="1">
        <v>137.755</v>
      </c>
      <c r="C61" s="1">
        <v>9.4339999999999993</v>
      </c>
      <c r="D61" s="1">
        <v>0</v>
      </c>
      <c r="E61" s="1">
        <v>-3.0000000000000001E-3</v>
      </c>
      <c r="F61" s="1">
        <v>3.0000000000000001E-3</v>
      </c>
      <c r="G61" s="5">
        <f t="array" ref="G61">SUM(B61:F61)</f>
        <v>147.18899999999999</v>
      </c>
    </row>
    <row r="62" spans="1:7" x14ac:dyDescent="0.3">
      <c r="A62" s="1" t="s">
        <v>51</v>
      </c>
      <c r="B62" s="1">
        <v>132.30500000000001</v>
      </c>
      <c r="C62" s="1">
        <v>8.3670000000000009</v>
      </c>
      <c r="D62" s="1">
        <v>0</v>
      </c>
      <c r="E62" s="1">
        <v>0.107</v>
      </c>
      <c r="F62" s="1">
        <v>7.0000000000000001E-3</v>
      </c>
      <c r="G62" s="5">
        <f t="array" ref="G62">SUM(B62:F62)</f>
        <v>140.786</v>
      </c>
    </row>
    <row r="63" spans="1:7" x14ac:dyDescent="0.3">
      <c r="A63" s="1" t="s">
        <v>48</v>
      </c>
      <c r="B63" s="1">
        <v>124.065</v>
      </c>
      <c r="C63" s="1">
        <v>6.1710000000000003</v>
      </c>
      <c r="D63" s="1">
        <v>0</v>
      </c>
      <c r="E63" s="1">
        <v>-0.45200000000000001</v>
      </c>
      <c r="F63" s="1">
        <v>2E-3</v>
      </c>
      <c r="G63" s="5">
        <f t="array" ref="G63">SUM(B63:F63)</f>
        <v>129.786</v>
      </c>
    </row>
    <row r="64" spans="1:7" x14ac:dyDescent="0.3">
      <c r="A64" s="1" t="s">
        <v>28</v>
      </c>
      <c r="B64" s="1">
        <v>93.894000000000005</v>
      </c>
      <c r="C64" s="1">
        <v>10.653</v>
      </c>
      <c r="D64" s="1">
        <v>0</v>
      </c>
      <c r="E64" s="1">
        <v>-7.1999999999999995E-2</v>
      </c>
      <c r="F64" s="1">
        <v>5.0000000000000001E-3</v>
      </c>
      <c r="G64" s="5">
        <f t="array" ref="G64">SUM(B64:F64)</f>
        <v>104.48</v>
      </c>
    </row>
    <row r="65" spans="1:7" x14ac:dyDescent="0.3">
      <c r="A65" s="1" t="s">
        <v>60</v>
      </c>
      <c r="B65" s="1">
        <v>82.322999999999993</v>
      </c>
      <c r="C65" s="1">
        <v>6.32</v>
      </c>
      <c r="D65" s="1">
        <v>0</v>
      </c>
      <c r="E65" s="1">
        <v>9.8000000000000004E-2</v>
      </c>
      <c r="F65" s="1">
        <v>3.0000000000000001E-3</v>
      </c>
      <c r="G65" s="5">
        <f t="array" ref="G65">SUM(B65:F65)</f>
        <v>88.744</v>
      </c>
    </row>
    <row r="66" spans="1:7" x14ac:dyDescent="0.3">
      <c r="A66" s="1" t="s">
        <v>36</v>
      </c>
      <c r="B66" s="1">
        <v>80.736999999999995</v>
      </c>
      <c r="C66" s="1">
        <v>2.9430000000000001</v>
      </c>
      <c r="D66" s="1">
        <v>0</v>
      </c>
      <c r="E66" s="1">
        <v>-0.746</v>
      </c>
      <c r="F66" s="1">
        <v>1E-3</v>
      </c>
      <c r="G66" s="5">
        <f t="array" ref="G66">SUM(B66:F66)</f>
        <v>82.935000000000002</v>
      </c>
    </row>
    <row r="67" spans="1:7" x14ac:dyDescent="0.3">
      <c r="A67" s="1" t="s">
        <v>59</v>
      </c>
      <c r="B67" s="1">
        <v>79.733000000000004</v>
      </c>
      <c r="C67" s="1">
        <v>3.9870000000000001</v>
      </c>
      <c r="D67" s="1">
        <v>0</v>
      </c>
      <c r="E67" s="1">
        <v>-1.2769999999999999</v>
      </c>
      <c r="F67" s="1">
        <v>2E-3</v>
      </c>
      <c r="G67" s="5">
        <f t="array" ref="G67">SUM(B67:F67)</f>
        <v>82.444999999999993</v>
      </c>
    </row>
  </sheetData>
  <sortState xmlns:xlrd2="http://schemas.microsoft.com/office/spreadsheetml/2017/richdata2" ref="A2:G67">
    <sortCondition descending="1" ref="G2:G6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Zone Macro</vt:lpstr>
      <vt:lpstr>Main Macros (REG)</vt:lpstr>
      <vt:lpstr>PIB por MicroReg</vt:lpstr>
      <vt:lpstr>Consumo Familias</vt:lpstr>
      <vt:lpstr>Produção Ind</vt:lpstr>
      <vt:lpstr>Invest Ind</vt:lpstr>
      <vt:lpstr>PIB (Var Monetaria)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Guilherme Perobelli</cp:lastModifiedBy>
  <dcterms:created xsi:type="dcterms:W3CDTF">2026-07-24T14:59:54Z</dcterms:created>
  <dcterms:modified xsi:type="dcterms:W3CDTF">2026-07-24T15:32:10Z</dcterms:modified>
</cp:coreProperties>
</file>