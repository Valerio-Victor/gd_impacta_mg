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\Documents\dev_2026\gd_impacta_mg\dados\"/>
    </mc:Choice>
  </mc:AlternateContent>
  <xr:revisionPtr revIDLastSave="0" documentId="13_ncr:1_{1B6D7598-236D-4572-BE7B-4C2E9488C1DB}" xr6:coauthVersionLast="47" xr6:coauthVersionMax="47" xr10:uidLastSave="{00000000-0000-0000-0000-000000000000}"/>
  <bookViews>
    <workbookView xWindow="-98" yWindow="-98" windowWidth="21795" windowHeight="12975" firstSheet="4" activeTab="5" xr2:uid="{BD14A59D-08AE-458F-8E9E-A36A88EBC844}"/>
  </bookViews>
  <sheets>
    <sheet name="Agropec" sheetId="6" r:id="rId1"/>
    <sheet name="Extrativa" sheetId="2" r:id="rId2"/>
    <sheet name="Industria" sheetId="3" r:id="rId3"/>
    <sheet name="Serviços" sheetId="4" r:id="rId4"/>
    <sheet name="Comercio" sheetId="5" r:id="rId5"/>
    <sheet name="Transport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0" i="6" l="1"/>
  <c r="H70" i="6" s="1"/>
  <c r="E70" i="6"/>
  <c r="B70" i="6"/>
  <c r="G70" i="2"/>
  <c r="H70" i="2" s="1"/>
  <c r="E70" i="2"/>
  <c r="B70" i="2"/>
  <c r="G70" i="3"/>
  <c r="H70" i="3" s="1"/>
  <c r="E70" i="3"/>
  <c r="B70" i="3"/>
  <c r="G70" i="4"/>
  <c r="H70" i="4" s="1"/>
  <c r="E70" i="4"/>
  <c r="B70" i="4"/>
  <c r="G70" i="5"/>
  <c r="H70" i="5" s="1"/>
  <c r="E70" i="5"/>
  <c r="B70" i="5"/>
  <c r="H70" i="1"/>
  <c r="G70" i="1"/>
  <c r="E70" i="1"/>
  <c r="B70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3" i="5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3" i="4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3" i="3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3" i="2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3" i="6"/>
</calcChain>
</file>

<file path=xl/sharedStrings.xml><?xml version="1.0" encoding="utf-8"?>
<sst xmlns="http://schemas.openxmlformats.org/spreadsheetml/2006/main" count="834" uniqueCount="70">
  <si>
    <t>MAKE</t>
  </si>
  <si>
    <t>1 Aimores</t>
  </si>
  <si>
    <t>2 Alfenas</t>
  </si>
  <si>
    <t>3 Almenara</t>
  </si>
  <si>
    <t>4 Andrelandia</t>
  </si>
  <si>
    <t>5 Aracuai</t>
  </si>
  <si>
    <t>6 Araxa</t>
  </si>
  <si>
    <t>7 Barbacena</t>
  </si>
  <si>
    <t>8 BeloHzte</t>
  </si>
  <si>
    <t>9 Bocaiuva</t>
  </si>
  <si>
    <t>10 BomDespacho</t>
  </si>
  <si>
    <t>11 CampoBelo</t>
  </si>
  <si>
    <t>12 Capelinha</t>
  </si>
  <si>
    <t>13 Caratinga</t>
  </si>
  <si>
    <t>14 Cataguases</t>
  </si>
  <si>
    <t>15 ConcMatoDen</t>
  </si>
  <si>
    <t>16 Lafaiete</t>
  </si>
  <si>
    <t>17 Curvelo</t>
  </si>
  <si>
    <t>18 Diamantina</t>
  </si>
  <si>
    <t>19 Divinopolis</t>
  </si>
  <si>
    <t>20 Formiga</t>
  </si>
  <si>
    <t>21 Frutal</t>
  </si>
  <si>
    <t>22 GovValad</t>
  </si>
  <si>
    <t>23 GraoMogol</t>
  </si>
  <si>
    <t>24 Guanhaes</t>
  </si>
  <si>
    <t>25 Ipatinga</t>
  </si>
  <si>
    <t>26 Itabira</t>
  </si>
  <si>
    <t>27 Itaguara</t>
  </si>
  <si>
    <t>28 Itajuba</t>
  </si>
  <si>
    <t>29 Ituiutaba</t>
  </si>
  <si>
    <t>30 Janauba</t>
  </si>
  <si>
    <t>31 Januaria</t>
  </si>
  <si>
    <t>32 JuizFora</t>
  </si>
  <si>
    <t>33 Lavras</t>
  </si>
  <si>
    <t>34 Manhuau</t>
  </si>
  <si>
    <t>35 Mantena</t>
  </si>
  <si>
    <t>36 MontesClaros</t>
  </si>
  <si>
    <t>37 Muriae</t>
  </si>
  <si>
    <t>38 Nanuque</t>
  </si>
  <si>
    <t>39 Oliveira</t>
  </si>
  <si>
    <t>40 OuroPreto</t>
  </si>
  <si>
    <t>41 ParaMinas</t>
  </si>
  <si>
    <t>42 Paracatu</t>
  </si>
  <si>
    <t>43 Passos</t>
  </si>
  <si>
    <t>44 PatosMinas</t>
  </si>
  <si>
    <t>45 Patrocinio</t>
  </si>
  <si>
    <t>46 Pecanha</t>
  </si>
  <si>
    <t>47 PedraAzul</t>
  </si>
  <si>
    <t>48 Pirapora</t>
  </si>
  <si>
    <t>49 Piui</t>
  </si>
  <si>
    <t>50 PocosCaldas</t>
  </si>
  <si>
    <t>51 PonteNova</t>
  </si>
  <si>
    <t>52 PousoAlegre</t>
  </si>
  <si>
    <t>53 Salinas</t>
  </si>
  <si>
    <t>54 StaRitaSapuc</t>
  </si>
  <si>
    <t>55 SaoJoaoDRei</t>
  </si>
  <si>
    <t>56 SaoLoureno</t>
  </si>
  <si>
    <t>57 SaoSebParai</t>
  </si>
  <si>
    <t>58 SeteLagoas</t>
  </si>
  <si>
    <t>59 TeofOtoni</t>
  </si>
  <si>
    <t>60 TresMarias</t>
  </si>
  <si>
    <t>61 Uba</t>
  </si>
  <si>
    <t>62 Uberaba</t>
  </si>
  <si>
    <t>63 Uberlandia</t>
  </si>
  <si>
    <t>64 Unai</t>
  </si>
  <si>
    <t>65 Varginha</t>
  </si>
  <si>
    <t>66 Vicosa</t>
  </si>
  <si>
    <t>PRÉ CHOQUE</t>
  </si>
  <si>
    <t>PÓS CHOQUE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</si>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</sst>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6" fontId="0" fillId="0" borderId="0" xfId="1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94BB5-0A33-4589-9A5B-A2E1612255D1}">
  <dimension ref="A1:H70"/>
  <sheetViews>
    <sheetView topLeftCell="A61" workbookViewId="0">
      <selection activeCell="B70" sqref="B70"/>
    </sheetView>
  </sheetViews>
  <sheetFormatPr defaultRowHeight="14.25" x14ac:dyDescent="0.45"/>
  <cols>
    <col min="2" max="2" width="12" bestFit="1" customWidth="1"/>
    <col min="5" max="5" width="12" bestFit="1" customWidth="1"/>
  </cols>
  <sheetData>
    <row r="1" spans="1:7" x14ac:dyDescent="0.45">
      <c r="B1" t="s">
        <v>67</v>
      </c>
      <c r="E1" t="s">
        <v>68</v>
      </c>
      <c r="G1" t="s">
        <v>69</v>
      </c>
    </row>
    <row r="2" spans="1:7" x14ac:dyDescent="0.45">
      <c r="A2" t="s">
        <v>0</v>
      </c>
      <c r="B2" t="s">
        <v>0</v>
      </c>
      <c r="D2" t="s">
        <v>0</v>
      </c>
      <c r="E2" t="s">
        <v>0</v>
      </c>
    </row>
    <row r="3" spans="1:7" x14ac:dyDescent="0.45">
      <c r="A3" t="s">
        <v>1</v>
      </c>
      <c r="B3">
        <v>1020.4598999999999</v>
      </c>
      <c r="D3" t="s">
        <v>1</v>
      </c>
      <c r="E3">
        <v>1005.062</v>
      </c>
      <c r="G3">
        <f>E3-B3</f>
        <v>-15.397899999999936</v>
      </c>
    </row>
    <row r="4" spans="1:7" x14ac:dyDescent="0.45">
      <c r="A4" t="s">
        <v>2</v>
      </c>
      <c r="B4">
        <v>1380.3874510000001</v>
      </c>
      <c r="D4" t="s">
        <v>2</v>
      </c>
      <c r="E4">
        <v>1396.4829999999999</v>
      </c>
      <c r="G4">
        <f t="shared" ref="G4:G67" si="0">E4-B4</f>
        <v>16.095548999999892</v>
      </c>
    </row>
    <row r="5" spans="1:7" x14ac:dyDescent="0.45">
      <c r="A5" t="s">
        <v>3</v>
      </c>
      <c r="B5">
        <v>261.80841099999998</v>
      </c>
      <c r="D5" t="s">
        <v>3</v>
      </c>
      <c r="E5">
        <v>269.94499999999999</v>
      </c>
      <c r="G5">
        <f t="shared" si="0"/>
        <v>8.1365890000000149</v>
      </c>
    </row>
    <row r="6" spans="1:7" x14ac:dyDescent="0.45">
      <c r="A6" t="s">
        <v>4</v>
      </c>
      <c r="B6">
        <v>463.80938700000002</v>
      </c>
      <c r="D6" t="s">
        <v>4</v>
      </c>
      <c r="E6">
        <v>460.27100000000002</v>
      </c>
      <c r="G6">
        <f t="shared" si="0"/>
        <v>-3.5383870000000002</v>
      </c>
    </row>
    <row r="7" spans="1:7" x14ac:dyDescent="0.45">
      <c r="A7" t="s">
        <v>5</v>
      </c>
      <c r="B7">
        <v>198.47714199999999</v>
      </c>
      <c r="D7" t="s">
        <v>5</v>
      </c>
      <c r="E7">
        <v>203.31200000000001</v>
      </c>
      <c r="G7">
        <f t="shared" si="0"/>
        <v>4.8348580000000254</v>
      </c>
    </row>
    <row r="8" spans="1:7" x14ac:dyDescent="0.45">
      <c r="A8" t="s">
        <v>6</v>
      </c>
      <c r="B8">
        <v>3772.7197270000001</v>
      </c>
      <c r="D8" t="s">
        <v>6</v>
      </c>
      <c r="E8">
        <v>3748.145</v>
      </c>
      <c r="G8">
        <f t="shared" si="0"/>
        <v>-24.574727000000166</v>
      </c>
    </row>
    <row r="9" spans="1:7" x14ac:dyDescent="0.45">
      <c r="A9" t="s">
        <v>7</v>
      </c>
      <c r="B9">
        <v>912.59619099999998</v>
      </c>
      <c r="D9" t="s">
        <v>7</v>
      </c>
      <c r="E9">
        <v>907.38199999999995</v>
      </c>
      <c r="G9">
        <f t="shared" si="0"/>
        <v>-5.214191000000028</v>
      </c>
    </row>
    <row r="10" spans="1:7" x14ac:dyDescent="0.45">
      <c r="A10" t="s">
        <v>8</v>
      </c>
      <c r="B10">
        <v>5115.4165039999998</v>
      </c>
      <c r="D10" t="s">
        <v>8</v>
      </c>
      <c r="E10">
        <v>5058.3119999999999</v>
      </c>
      <c r="G10">
        <f t="shared" si="0"/>
        <v>-57.104503999999906</v>
      </c>
    </row>
    <row r="11" spans="1:7" x14ac:dyDescent="0.45">
      <c r="A11" t="s">
        <v>9</v>
      </c>
      <c r="B11">
        <v>188.11741599999999</v>
      </c>
      <c r="D11" t="s">
        <v>9</v>
      </c>
      <c r="E11">
        <v>195.745</v>
      </c>
      <c r="G11">
        <f t="shared" si="0"/>
        <v>7.627584000000013</v>
      </c>
    </row>
    <row r="12" spans="1:7" x14ac:dyDescent="0.45">
      <c r="A12" t="s">
        <v>10</v>
      </c>
      <c r="B12">
        <v>959.83538799999997</v>
      </c>
      <c r="D12" t="s">
        <v>10</v>
      </c>
      <c r="E12">
        <v>981.15499999999997</v>
      </c>
      <c r="G12">
        <f t="shared" si="0"/>
        <v>21.319612000000006</v>
      </c>
    </row>
    <row r="13" spans="1:7" x14ac:dyDescent="0.45">
      <c r="A13" t="s">
        <v>11</v>
      </c>
      <c r="B13">
        <v>527.13781700000004</v>
      </c>
      <c r="D13" t="s">
        <v>11</v>
      </c>
      <c r="E13">
        <v>527.14599999999996</v>
      </c>
      <c r="G13">
        <f t="shared" si="0"/>
        <v>8.1829999999172287E-3</v>
      </c>
    </row>
    <row r="14" spans="1:7" x14ac:dyDescent="0.45">
      <c r="A14" t="s">
        <v>12</v>
      </c>
      <c r="B14">
        <v>695.79205300000001</v>
      </c>
      <c r="D14" t="s">
        <v>12</v>
      </c>
      <c r="E14">
        <v>699.96799999999996</v>
      </c>
      <c r="G14">
        <f t="shared" si="0"/>
        <v>4.175946999999951</v>
      </c>
    </row>
    <row r="15" spans="1:7" x14ac:dyDescent="0.45">
      <c r="A15" t="s">
        <v>13</v>
      </c>
      <c r="B15">
        <v>728.93548599999997</v>
      </c>
      <c r="D15" t="s">
        <v>13</v>
      </c>
      <c r="E15">
        <v>745.78300000000002</v>
      </c>
      <c r="G15">
        <f t="shared" si="0"/>
        <v>16.847514000000047</v>
      </c>
    </row>
    <row r="16" spans="1:7" x14ac:dyDescent="0.45">
      <c r="A16" t="s">
        <v>14</v>
      </c>
      <c r="B16">
        <v>528.43206799999996</v>
      </c>
      <c r="D16" t="s">
        <v>14</v>
      </c>
      <c r="E16">
        <v>532.04600000000005</v>
      </c>
      <c r="G16">
        <f t="shared" si="0"/>
        <v>3.6139320000000907</v>
      </c>
    </row>
    <row r="17" spans="1:7" x14ac:dyDescent="0.45">
      <c r="A17" t="s">
        <v>15</v>
      </c>
      <c r="B17">
        <v>338.241333</v>
      </c>
      <c r="D17" t="s">
        <v>15</v>
      </c>
      <c r="E17">
        <v>333.55099999999999</v>
      </c>
      <c r="G17">
        <f t="shared" si="0"/>
        <v>-4.6903330000000096</v>
      </c>
    </row>
    <row r="18" spans="1:7" x14ac:dyDescent="0.45">
      <c r="A18" t="s">
        <v>16</v>
      </c>
      <c r="B18">
        <v>258.58569299999999</v>
      </c>
      <c r="D18" t="s">
        <v>16</v>
      </c>
      <c r="E18">
        <v>267.18200000000002</v>
      </c>
      <c r="G18">
        <f t="shared" si="0"/>
        <v>8.5963070000000243</v>
      </c>
    </row>
    <row r="19" spans="1:7" x14ac:dyDescent="0.45">
      <c r="A19" t="s">
        <v>17</v>
      </c>
      <c r="B19">
        <v>553.88940400000001</v>
      </c>
      <c r="D19" t="s">
        <v>17</v>
      </c>
      <c r="E19">
        <v>564.16700000000003</v>
      </c>
      <c r="G19">
        <f t="shared" si="0"/>
        <v>10.277596000000017</v>
      </c>
    </row>
    <row r="20" spans="1:7" x14ac:dyDescent="0.45">
      <c r="A20" t="s">
        <v>18</v>
      </c>
      <c r="B20">
        <v>179.490982</v>
      </c>
      <c r="D20" t="s">
        <v>18</v>
      </c>
      <c r="E20">
        <v>184.17599999999999</v>
      </c>
      <c r="G20">
        <f t="shared" si="0"/>
        <v>4.6850179999999852</v>
      </c>
    </row>
    <row r="21" spans="1:7" x14ac:dyDescent="0.45">
      <c r="A21" t="s">
        <v>19</v>
      </c>
      <c r="B21">
        <v>1023.221375</v>
      </c>
      <c r="D21" t="s">
        <v>19</v>
      </c>
      <c r="E21">
        <v>1058.02</v>
      </c>
      <c r="G21">
        <f t="shared" si="0"/>
        <v>34.798625000000015</v>
      </c>
    </row>
    <row r="22" spans="1:7" x14ac:dyDescent="0.45">
      <c r="A22" t="s">
        <v>20</v>
      </c>
      <c r="B22">
        <v>675.28125</v>
      </c>
      <c r="D22" t="s">
        <v>20</v>
      </c>
      <c r="E22">
        <v>686.66</v>
      </c>
      <c r="G22">
        <f t="shared" si="0"/>
        <v>11.378749999999968</v>
      </c>
    </row>
    <row r="23" spans="1:7" x14ac:dyDescent="0.45">
      <c r="A23" t="s">
        <v>21</v>
      </c>
      <c r="B23">
        <v>2466.4270019999999</v>
      </c>
      <c r="D23" t="s">
        <v>21</v>
      </c>
      <c r="E23">
        <v>2436.4</v>
      </c>
      <c r="G23">
        <f t="shared" si="0"/>
        <v>-30.027001999999811</v>
      </c>
    </row>
    <row r="24" spans="1:7" x14ac:dyDescent="0.45">
      <c r="A24" t="s">
        <v>22</v>
      </c>
      <c r="B24">
        <v>1259.671509</v>
      </c>
      <c r="D24" t="s">
        <v>22</v>
      </c>
      <c r="E24">
        <v>1267.1300000000001</v>
      </c>
      <c r="G24">
        <f t="shared" si="0"/>
        <v>7.4584910000000946</v>
      </c>
    </row>
    <row r="25" spans="1:7" x14ac:dyDescent="0.45">
      <c r="A25" t="s">
        <v>23</v>
      </c>
      <c r="B25">
        <v>72.059607999999997</v>
      </c>
      <c r="D25" t="s">
        <v>23</v>
      </c>
      <c r="E25">
        <v>72.021000000000001</v>
      </c>
      <c r="G25">
        <f t="shared" si="0"/>
        <v>-3.8607999999996423E-2</v>
      </c>
    </row>
    <row r="26" spans="1:7" x14ac:dyDescent="0.45">
      <c r="A26" t="s">
        <v>24</v>
      </c>
      <c r="B26">
        <v>421.63400300000001</v>
      </c>
      <c r="D26" t="s">
        <v>24</v>
      </c>
      <c r="E26">
        <v>421.08600000000001</v>
      </c>
      <c r="G26">
        <f t="shared" si="0"/>
        <v>-0.54800299999999424</v>
      </c>
    </row>
    <row r="27" spans="1:7" x14ac:dyDescent="0.45">
      <c r="A27" t="s">
        <v>25</v>
      </c>
      <c r="B27">
        <v>481.71847500000001</v>
      </c>
      <c r="D27" t="s">
        <v>25</v>
      </c>
      <c r="E27">
        <v>486.00099999999998</v>
      </c>
      <c r="G27">
        <f t="shared" si="0"/>
        <v>4.2825249999999642</v>
      </c>
    </row>
    <row r="28" spans="1:7" x14ac:dyDescent="0.45">
      <c r="A28" t="s">
        <v>26</v>
      </c>
      <c r="B28">
        <v>988.84759499999996</v>
      </c>
      <c r="D28" t="s">
        <v>26</v>
      </c>
      <c r="E28">
        <v>982.74900000000002</v>
      </c>
      <c r="G28">
        <f t="shared" si="0"/>
        <v>-6.098594999999932</v>
      </c>
    </row>
    <row r="29" spans="1:7" x14ac:dyDescent="0.45">
      <c r="A29" t="s">
        <v>27</v>
      </c>
      <c r="B29">
        <v>301.98620599999998</v>
      </c>
      <c r="D29" t="s">
        <v>27</v>
      </c>
      <c r="E29">
        <v>309.03899999999999</v>
      </c>
      <c r="G29">
        <f t="shared" si="0"/>
        <v>7.0527940000000058</v>
      </c>
    </row>
    <row r="30" spans="1:7" x14ac:dyDescent="0.45">
      <c r="A30" t="s">
        <v>28</v>
      </c>
      <c r="B30">
        <v>567.93493699999999</v>
      </c>
      <c r="D30" t="s">
        <v>28</v>
      </c>
      <c r="E30">
        <v>567.40200000000004</v>
      </c>
      <c r="G30">
        <f t="shared" si="0"/>
        <v>-0.53293699999994715</v>
      </c>
    </row>
    <row r="31" spans="1:7" x14ac:dyDescent="0.45">
      <c r="A31" t="s">
        <v>29</v>
      </c>
      <c r="B31">
        <v>1359.4782709999999</v>
      </c>
      <c r="D31" t="s">
        <v>29</v>
      </c>
      <c r="E31">
        <v>1350.5429999999999</v>
      </c>
      <c r="G31">
        <f t="shared" si="0"/>
        <v>-8.935271000000057</v>
      </c>
    </row>
    <row r="32" spans="1:7" x14ac:dyDescent="0.45">
      <c r="A32" t="s">
        <v>30</v>
      </c>
      <c r="B32">
        <v>767.76855499999999</v>
      </c>
      <c r="D32" t="s">
        <v>30</v>
      </c>
      <c r="E32">
        <v>785.26599999999996</v>
      </c>
      <c r="G32">
        <f t="shared" si="0"/>
        <v>17.497444999999971</v>
      </c>
    </row>
    <row r="33" spans="1:7" x14ac:dyDescent="0.45">
      <c r="A33" t="s">
        <v>31</v>
      </c>
      <c r="B33">
        <v>554.21032700000001</v>
      </c>
      <c r="D33" t="s">
        <v>31</v>
      </c>
      <c r="E33">
        <v>582.846</v>
      </c>
      <c r="G33">
        <f t="shared" si="0"/>
        <v>28.635672999999997</v>
      </c>
    </row>
    <row r="34" spans="1:7" x14ac:dyDescent="0.45">
      <c r="A34" t="s">
        <v>32</v>
      </c>
      <c r="B34">
        <v>976.47442599999999</v>
      </c>
      <c r="D34" t="s">
        <v>32</v>
      </c>
      <c r="E34">
        <v>975.40200000000004</v>
      </c>
      <c r="G34">
        <f t="shared" si="0"/>
        <v>-1.0724259999999504</v>
      </c>
    </row>
    <row r="35" spans="1:7" x14ac:dyDescent="0.45">
      <c r="A35" t="s">
        <v>33</v>
      </c>
      <c r="B35">
        <v>685.42529300000001</v>
      </c>
      <c r="D35" t="s">
        <v>33</v>
      </c>
      <c r="E35">
        <v>682.99199999999996</v>
      </c>
      <c r="G35">
        <f t="shared" si="0"/>
        <v>-2.4332930000000488</v>
      </c>
    </row>
    <row r="36" spans="1:7" x14ac:dyDescent="0.45">
      <c r="A36" t="s">
        <v>34</v>
      </c>
      <c r="B36">
        <v>1430.202759</v>
      </c>
      <c r="D36" t="s">
        <v>34</v>
      </c>
      <c r="E36">
        <v>1431.029</v>
      </c>
      <c r="G36">
        <f t="shared" si="0"/>
        <v>0.8262409999999818</v>
      </c>
    </row>
    <row r="37" spans="1:7" x14ac:dyDescent="0.45">
      <c r="A37" t="s">
        <v>35</v>
      </c>
      <c r="B37">
        <v>156.864563</v>
      </c>
      <c r="D37" t="s">
        <v>35</v>
      </c>
      <c r="E37">
        <v>163.09899999999999</v>
      </c>
      <c r="G37">
        <f t="shared" si="0"/>
        <v>6.2344369999999856</v>
      </c>
    </row>
    <row r="38" spans="1:7" x14ac:dyDescent="0.45">
      <c r="A38" t="s">
        <v>36</v>
      </c>
      <c r="B38">
        <v>859.228027</v>
      </c>
      <c r="D38" t="s">
        <v>36</v>
      </c>
      <c r="E38">
        <v>868.70699999999999</v>
      </c>
      <c r="G38">
        <f t="shared" si="0"/>
        <v>9.4789729999999963</v>
      </c>
    </row>
    <row r="39" spans="1:7" x14ac:dyDescent="0.45">
      <c r="A39" t="s">
        <v>37</v>
      </c>
      <c r="B39">
        <v>833.85137899999995</v>
      </c>
      <c r="D39" t="s">
        <v>37</v>
      </c>
      <c r="E39">
        <v>854.10599999999999</v>
      </c>
      <c r="G39">
        <f t="shared" si="0"/>
        <v>20.254621000000043</v>
      </c>
    </row>
    <row r="40" spans="1:7" x14ac:dyDescent="0.45">
      <c r="A40" t="s">
        <v>38</v>
      </c>
      <c r="B40">
        <v>985.49890100000005</v>
      </c>
      <c r="D40" t="s">
        <v>38</v>
      </c>
      <c r="E40">
        <v>973.00900000000001</v>
      </c>
      <c r="G40">
        <f t="shared" si="0"/>
        <v>-12.489901000000032</v>
      </c>
    </row>
    <row r="41" spans="1:7" x14ac:dyDescent="0.45">
      <c r="A41" t="s">
        <v>39</v>
      </c>
      <c r="B41">
        <v>616.99542199999996</v>
      </c>
      <c r="D41" t="s">
        <v>39</v>
      </c>
      <c r="E41">
        <v>629.72199999999998</v>
      </c>
      <c r="G41">
        <f t="shared" si="0"/>
        <v>12.726578000000018</v>
      </c>
    </row>
    <row r="42" spans="1:7" x14ac:dyDescent="0.45">
      <c r="A42" t="s">
        <v>40</v>
      </c>
      <c r="B42">
        <v>481.84491000000003</v>
      </c>
      <c r="D42" t="s">
        <v>40</v>
      </c>
      <c r="E42">
        <v>473.32600000000002</v>
      </c>
      <c r="G42">
        <f t="shared" si="0"/>
        <v>-8.5189100000000053</v>
      </c>
    </row>
    <row r="43" spans="1:7" x14ac:dyDescent="0.45">
      <c r="A43" t="s">
        <v>41</v>
      </c>
      <c r="B43">
        <v>1134.1062010000001</v>
      </c>
      <c r="D43" t="s">
        <v>41</v>
      </c>
      <c r="E43">
        <v>1131.2190000000001</v>
      </c>
      <c r="G43">
        <f t="shared" si="0"/>
        <v>-2.8872010000000046</v>
      </c>
    </row>
    <row r="44" spans="1:7" x14ac:dyDescent="0.45">
      <c r="A44" t="s">
        <v>42</v>
      </c>
      <c r="B44">
        <v>3003.0898440000001</v>
      </c>
      <c r="D44" t="s">
        <v>42</v>
      </c>
      <c r="E44">
        <v>3006.6640000000002</v>
      </c>
      <c r="G44">
        <f t="shared" si="0"/>
        <v>3.57415600000013</v>
      </c>
    </row>
    <row r="45" spans="1:7" x14ac:dyDescent="0.45">
      <c r="A45" t="s">
        <v>43</v>
      </c>
      <c r="B45">
        <v>1445.273193</v>
      </c>
      <c r="D45" t="s">
        <v>43</v>
      </c>
      <c r="E45">
        <v>1464.0509999999999</v>
      </c>
      <c r="G45">
        <f t="shared" si="0"/>
        <v>18.777806999999939</v>
      </c>
    </row>
    <row r="46" spans="1:7" x14ac:dyDescent="0.45">
      <c r="A46" t="s">
        <v>44</v>
      </c>
      <c r="B46">
        <v>2307.6457519999999</v>
      </c>
      <c r="D46" t="s">
        <v>44</v>
      </c>
      <c r="E46">
        <v>2304.1970000000001</v>
      </c>
      <c r="G46">
        <f t="shared" si="0"/>
        <v>-3.4487519999997858</v>
      </c>
    </row>
    <row r="47" spans="1:7" x14ac:dyDescent="0.45">
      <c r="A47" t="s">
        <v>45</v>
      </c>
      <c r="B47">
        <v>2738.1159670000002</v>
      </c>
      <c r="D47" t="s">
        <v>45</v>
      </c>
      <c r="E47">
        <v>2728.85</v>
      </c>
      <c r="G47">
        <f t="shared" si="0"/>
        <v>-9.2659670000002734</v>
      </c>
    </row>
    <row r="48" spans="1:7" x14ac:dyDescent="0.45">
      <c r="A48" t="s">
        <v>46</v>
      </c>
      <c r="B48">
        <v>258.20434599999999</v>
      </c>
      <c r="D48" t="s">
        <v>46</v>
      </c>
      <c r="E48">
        <v>264.00799999999998</v>
      </c>
      <c r="G48">
        <f t="shared" si="0"/>
        <v>5.8036539999999945</v>
      </c>
    </row>
    <row r="49" spans="1:7" x14ac:dyDescent="0.45">
      <c r="A49" t="s">
        <v>47</v>
      </c>
      <c r="B49">
        <v>64.027625999999998</v>
      </c>
      <c r="D49" t="s">
        <v>47</v>
      </c>
      <c r="E49">
        <v>67.885000000000005</v>
      </c>
      <c r="G49">
        <f t="shared" si="0"/>
        <v>3.8573740000000072</v>
      </c>
    </row>
    <row r="50" spans="1:7" x14ac:dyDescent="0.45">
      <c r="A50" t="s">
        <v>48</v>
      </c>
      <c r="B50">
        <v>426.11651599999999</v>
      </c>
      <c r="D50" t="s">
        <v>48</v>
      </c>
      <c r="E50">
        <v>439.18299999999999</v>
      </c>
      <c r="G50">
        <f t="shared" si="0"/>
        <v>13.066484000000003</v>
      </c>
    </row>
    <row r="51" spans="1:7" x14ac:dyDescent="0.45">
      <c r="A51" t="s">
        <v>49</v>
      </c>
      <c r="B51">
        <v>977.35516399999995</v>
      </c>
      <c r="D51" t="s">
        <v>49</v>
      </c>
      <c r="E51">
        <v>961.87800000000004</v>
      </c>
      <c r="G51">
        <f t="shared" si="0"/>
        <v>-15.477163999999902</v>
      </c>
    </row>
    <row r="52" spans="1:7" x14ac:dyDescent="0.45">
      <c r="A52" t="s">
        <v>50</v>
      </c>
      <c r="B52">
        <v>1532.7653809999999</v>
      </c>
      <c r="D52" t="s">
        <v>50</v>
      </c>
      <c r="E52">
        <v>1517.412</v>
      </c>
      <c r="G52">
        <f t="shared" si="0"/>
        <v>-15.353380999999899</v>
      </c>
    </row>
    <row r="53" spans="1:7" x14ac:dyDescent="0.45">
      <c r="A53" t="s">
        <v>51</v>
      </c>
      <c r="B53">
        <v>1297.9594729999999</v>
      </c>
      <c r="D53" t="s">
        <v>51</v>
      </c>
      <c r="E53">
        <v>1289.1780000000001</v>
      </c>
      <c r="G53">
        <f t="shared" si="0"/>
        <v>-8.781472999999778</v>
      </c>
    </row>
    <row r="54" spans="1:7" x14ac:dyDescent="0.45">
      <c r="A54" t="s">
        <v>52</v>
      </c>
      <c r="B54">
        <v>784.20410200000003</v>
      </c>
      <c r="D54" t="s">
        <v>52</v>
      </c>
      <c r="E54">
        <v>784.77700000000004</v>
      </c>
      <c r="G54">
        <f t="shared" si="0"/>
        <v>0.57289800000000923</v>
      </c>
    </row>
    <row r="55" spans="1:7" x14ac:dyDescent="0.45">
      <c r="A55" t="s">
        <v>53</v>
      </c>
      <c r="B55">
        <v>303.68158</v>
      </c>
      <c r="D55" t="s">
        <v>53</v>
      </c>
      <c r="E55">
        <v>308.81299999999999</v>
      </c>
      <c r="G55">
        <f t="shared" si="0"/>
        <v>5.1314199999999914</v>
      </c>
    </row>
    <row r="56" spans="1:7" x14ac:dyDescent="0.45">
      <c r="A56" t="s">
        <v>54</v>
      </c>
      <c r="B56">
        <v>689.08123799999998</v>
      </c>
      <c r="D56" t="s">
        <v>54</v>
      </c>
      <c r="E56">
        <v>685.12900000000002</v>
      </c>
      <c r="G56">
        <f t="shared" si="0"/>
        <v>-3.9522379999999657</v>
      </c>
    </row>
    <row r="57" spans="1:7" x14ac:dyDescent="0.45">
      <c r="A57" t="s">
        <v>55</v>
      </c>
      <c r="B57">
        <v>668.33557099999996</v>
      </c>
      <c r="D57" t="s">
        <v>55</v>
      </c>
      <c r="E57">
        <v>677.85699999999997</v>
      </c>
      <c r="G57">
        <f t="shared" si="0"/>
        <v>9.5214290000000119</v>
      </c>
    </row>
    <row r="58" spans="1:7" x14ac:dyDescent="0.45">
      <c r="A58" t="s">
        <v>56</v>
      </c>
      <c r="B58">
        <v>895.66381799999999</v>
      </c>
      <c r="D58" t="s">
        <v>56</v>
      </c>
      <c r="E58">
        <v>908.91899999999998</v>
      </c>
      <c r="G58">
        <f t="shared" si="0"/>
        <v>13.255181999999991</v>
      </c>
    </row>
    <row r="59" spans="1:7" x14ac:dyDescent="0.45">
      <c r="A59" t="s">
        <v>57</v>
      </c>
      <c r="B59">
        <v>1525.948975</v>
      </c>
      <c r="D59" t="s">
        <v>57</v>
      </c>
      <c r="E59">
        <v>1523.6379999999999</v>
      </c>
      <c r="G59">
        <f t="shared" si="0"/>
        <v>-2.3109750000000986</v>
      </c>
    </row>
    <row r="60" spans="1:7" x14ac:dyDescent="0.45">
      <c r="A60" t="s">
        <v>58</v>
      </c>
      <c r="B60">
        <v>1181.74585</v>
      </c>
      <c r="D60" t="s">
        <v>58</v>
      </c>
      <c r="E60">
        <v>1211.2180000000001</v>
      </c>
      <c r="G60">
        <f t="shared" si="0"/>
        <v>29.472150000000056</v>
      </c>
    </row>
    <row r="61" spans="1:7" x14ac:dyDescent="0.45">
      <c r="A61" t="s">
        <v>59</v>
      </c>
      <c r="B61">
        <v>612.70819100000006</v>
      </c>
      <c r="D61" t="s">
        <v>59</v>
      </c>
      <c r="E61">
        <v>633.02200000000005</v>
      </c>
      <c r="G61">
        <f t="shared" si="0"/>
        <v>20.313808999999992</v>
      </c>
    </row>
    <row r="62" spans="1:7" x14ac:dyDescent="0.45">
      <c r="A62" t="s">
        <v>60</v>
      </c>
      <c r="B62">
        <v>710.97271699999999</v>
      </c>
      <c r="D62" t="s">
        <v>60</v>
      </c>
      <c r="E62">
        <v>720.65300000000002</v>
      </c>
      <c r="G62">
        <f t="shared" si="0"/>
        <v>9.6802830000000313</v>
      </c>
    </row>
    <row r="63" spans="1:7" x14ac:dyDescent="0.45">
      <c r="A63" t="s">
        <v>61</v>
      </c>
      <c r="B63">
        <v>815.03710899999999</v>
      </c>
      <c r="D63" t="s">
        <v>61</v>
      </c>
      <c r="E63">
        <v>826.48</v>
      </c>
      <c r="G63">
        <f t="shared" si="0"/>
        <v>11.442891000000031</v>
      </c>
    </row>
    <row r="64" spans="1:7" x14ac:dyDescent="0.45">
      <c r="A64" t="s">
        <v>62</v>
      </c>
      <c r="B64">
        <v>1959.9071039999999</v>
      </c>
      <c r="D64" t="s">
        <v>62</v>
      </c>
      <c r="E64">
        <v>1989.9739999999999</v>
      </c>
      <c r="G64">
        <f t="shared" si="0"/>
        <v>30.066896000000042</v>
      </c>
    </row>
    <row r="65" spans="1:8" x14ac:dyDescent="0.45">
      <c r="A65" t="s">
        <v>63</v>
      </c>
      <c r="B65">
        <v>6903.3598629999997</v>
      </c>
      <c r="D65" t="s">
        <v>63</v>
      </c>
      <c r="E65">
        <v>6803.48</v>
      </c>
      <c r="G65">
        <f t="shared" si="0"/>
        <v>-99.879863000000114</v>
      </c>
    </row>
    <row r="66" spans="1:8" x14ac:dyDescent="0.45">
      <c r="A66" t="s">
        <v>64</v>
      </c>
      <c r="B66">
        <v>4158.1870120000003</v>
      </c>
      <c r="D66" t="s">
        <v>64</v>
      </c>
      <c r="E66">
        <v>4117.8900000000003</v>
      </c>
      <c r="G66">
        <f t="shared" si="0"/>
        <v>-40.297011999999995</v>
      </c>
    </row>
    <row r="67" spans="1:8" x14ac:dyDescent="0.45">
      <c r="A67" t="s">
        <v>65</v>
      </c>
      <c r="B67">
        <v>2031.980957</v>
      </c>
      <c r="D67" t="s">
        <v>65</v>
      </c>
      <c r="E67">
        <v>2059.3829999999998</v>
      </c>
      <c r="G67">
        <f t="shared" si="0"/>
        <v>27.402042999999821</v>
      </c>
    </row>
    <row r="68" spans="1:8" x14ac:dyDescent="0.45">
      <c r="A68" t="s">
        <v>66</v>
      </c>
      <c r="B68">
        <v>904.79528800000003</v>
      </c>
      <c r="D68" t="s">
        <v>66</v>
      </c>
      <c r="E68">
        <v>920.08900000000006</v>
      </c>
      <c r="G68">
        <f t="shared" ref="G68" si="1">E68-B68</f>
        <v>15.293712000000028</v>
      </c>
    </row>
    <row r="70" spans="1:8" x14ac:dyDescent="0.45">
      <c r="B70">
        <f>SUM(B3:B68)</f>
        <v>75381.025983999993</v>
      </c>
      <c r="E70">
        <f>SUM(E3:E68)</f>
        <v>75482.233000000007</v>
      </c>
      <c r="G70">
        <f>SUM(G3:G68)</f>
        <v>101.20701600000046</v>
      </c>
      <c r="H70" s="1">
        <f>G70/B70</f>
        <v>1.3426059764891256E-3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931DE-165D-40DC-ADFB-F4ABF15FE41E}">
  <dimension ref="A1:H70"/>
  <sheetViews>
    <sheetView topLeftCell="A58" workbookViewId="0">
      <selection activeCell="H70" sqref="H70"/>
    </sheetView>
  </sheetViews>
  <sheetFormatPr defaultRowHeight="14.25" x14ac:dyDescent="0.45"/>
  <cols>
    <col min="2" max="2" width="12" bestFit="1" customWidth="1"/>
    <col min="5" max="5" width="12" bestFit="1" customWidth="1"/>
  </cols>
  <sheetData>
    <row r="1" spans="1:7" x14ac:dyDescent="0.45">
      <c r="B1" t="s">
        <v>67</v>
      </c>
      <c r="E1" t="s">
        <v>68</v>
      </c>
      <c r="G1" t="s">
        <v>69</v>
      </c>
    </row>
    <row r="2" spans="1:7" x14ac:dyDescent="0.45">
      <c r="A2" t="s">
        <v>0</v>
      </c>
      <c r="B2" t="s">
        <v>0</v>
      </c>
      <c r="D2" t="s">
        <v>0</v>
      </c>
      <c r="E2" t="s">
        <v>0</v>
      </c>
    </row>
    <row r="3" spans="1:7" x14ac:dyDescent="0.45">
      <c r="A3" t="s">
        <v>1</v>
      </c>
      <c r="B3">
        <v>14.285379000000001</v>
      </c>
      <c r="D3" t="s">
        <v>1</v>
      </c>
      <c r="E3">
        <v>14.992000000000001</v>
      </c>
      <c r="G3">
        <f>E3-B3</f>
        <v>0.70662100000000017</v>
      </c>
    </row>
    <row r="4" spans="1:7" x14ac:dyDescent="0.45">
      <c r="A4" t="s">
        <v>2</v>
      </c>
      <c r="B4">
        <v>42.517223000000001</v>
      </c>
      <c r="D4" t="s">
        <v>2</v>
      </c>
      <c r="E4">
        <v>45.156999999999996</v>
      </c>
      <c r="G4">
        <f t="shared" ref="G4:G67" si="0">E4-B4</f>
        <v>2.6397769999999952</v>
      </c>
    </row>
    <row r="5" spans="1:7" x14ac:dyDescent="0.45">
      <c r="A5" t="s">
        <v>3</v>
      </c>
      <c r="B5">
        <v>8.0818100000000008</v>
      </c>
      <c r="D5" t="s">
        <v>3</v>
      </c>
      <c r="E5">
        <v>8.3770000000000007</v>
      </c>
      <c r="G5">
        <f t="shared" si="0"/>
        <v>0.29518999999999984</v>
      </c>
    </row>
    <row r="6" spans="1:7" x14ac:dyDescent="0.45">
      <c r="A6" t="s">
        <v>4</v>
      </c>
      <c r="B6">
        <v>7.167675</v>
      </c>
      <c r="D6" t="s">
        <v>4</v>
      </c>
      <c r="E6">
        <v>7.2080000000000002</v>
      </c>
      <c r="G6">
        <f t="shared" si="0"/>
        <v>4.0325000000000166E-2</v>
      </c>
    </row>
    <row r="7" spans="1:7" x14ac:dyDescent="0.45">
      <c r="A7" t="s">
        <v>5</v>
      </c>
      <c r="B7">
        <v>6.7637090000000004</v>
      </c>
      <c r="D7" t="s">
        <v>5</v>
      </c>
      <c r="E7">
        <v>7.1120000000000001</v>
      </c>
      <c r="G7">
        <f t="shared" si="0"/>
        <v>0.34829099999999968</v>
      </c>
    </row>
    <row r="8" spans="1:7" x14ac:dyDescent="0.45">
      <c r="A8" t="s">
        <v>6</v>
      </c>
      <c r="B8">
        <v>274.05508400000002</v>
      </c>
      <c r="D8" t="s">
        <v>6</v>
      </c>
      <c r="E8">
        <v>283.29899999999998</v>
      </c>
      <c r="G8">
        <f t="shared" si="0"/>
        <v>9.2439159999999561</v>
      </c>
    </row>
    <row r="9" spans="1:7" x14ac:dyDescent="0.45">
      <c r="A9" t="s">
        <v>7</v>
      </c>
      <c r="B9">
        <v>41.501305000000002</v>
      </c>
      <c r="D9" t="s">
        <v>7</v>
      </c>
      <c r="E9">
        <v>42.594000000000001</v>
      </c>
      <c r="G9">
        <f t="shared" si="0"/>
        <v>1.0926949999999991</v>
      </c>
    </row>
    <row r="10" spans="1:7" x14ac:dyDescent="0.45">
      <c r="A10" t="s">
        <v>8</v>
      </c>
      <c r="B10">
        <v>11865.494140999999</v>
      </c>
      <c r="D10" t="s">
        <v>8</v>
      </c>
      <c r="E10">
        <v>12122.857</v>
      </c>
      <c r="G10">
        <f t="shared" si="0"/>
        <v>257.36285900000075</v>
      </c>
    </row>
    <row r="11" spans="1:7" x14ac:dyDescent="0.45">
      <c r="A11" t="s">
        <v>9</v>
      </c>
      <c r="B11">
        <v>10.287419999999999</v>
      </c>
      <c r="D11" t="s">
        <v>9</v>
      </c>
      <c r="E11">
        <v>10.836</v>
      </c>
      <c r="G11">
        <f t="shared" si="0"/>
        <v>0.54858000000000118</v>
      </c>
    </row>
    <row r="12" spans="1:7" x14ac:dyDescent="0.45">
      <c r="A12" t="s">
        <v>10</v>
      </c>
      <c r="B12">
        <v>44.566733999999997</v>
      </c>
      <c r="D12" t="s">
        <v>10</v>
      </c>
      <c r="E12">
        <v>45.91</v>
      </c>
      <c r="G12">
        <f t="shared" si="0"/>
        <v>1.3432659999999998</v>
      </c>
    </row>
    <row r="13" spans="1:7" x14ac:dyDescent="0.45">
      <c r="A13" t="s">
        <v>11</v>
      </c>
      <c r="B13">
        <v>16.362034000000001</v>
      </c>
      <c r="D13" t="s">
        <v>11</v>
      </c>
      <c r="E13">
        <v>16.869</v>
      </c>
      <c r="G13">
        <f t="shared" si="0"/>
        <v>0.50696599999999847</v>
      </c>
    </row>
    <row r="14" spans="1:7" x14ac:dyDescent="0.45">
      <c r="A14" t="s">
        <v>12</v>
      </c>
      <c r="B14">
        <v>9.472118</v>
      </c>
      <c r="D14" t="s">
        <v>12</v>
      </c>
      <c r="E14">
        <v>9.9979999999999993</v>
      </c>
      <c r="G14">
        <f t="shared" si="0"/>
        <v>0.52588199999999929</v>
      </c>
    </row>
    <row r="15" spans="1:7" x14ac:dyDescent="0.45">
      <c r="A15" t="s">
        <v>13</v>
      </c>
      <c r="B15">
        <v>17.669266</v>
      </c>
      <c r="D15" t="s">
        <v>13</v>
      </c>
      <c r="E15">
        <v>18.175999999999998</v>
      </c>
      <c r="G15">
        <f t="shared" si="0"/>
        <v>0.50673399999999802</v>
      </c>
    </row>
    <row r="16" spans="1:7" x14ac:dyDescent="0.45">
      <c r="A16" t="s">
        <v>14</v>
      </c>
      <c r="B16">
        <v>102.11393</v>
      </c>
      <c r="D16" t="s">
        <v>14</v>
      </c>
      <c r="E16">
        <v>105.283</v>
      </c>
      <c r="G16">
        <f t="shared" si="0"/>
        <v>3.1690700000000049</v>
      </c>
    </row>
    <row r="17" spans="1:7" x14ac:dyDescent="0.45">
      <c r="A17" t="s">
        <v>15</v>
      </c>
      <c r="B17">
        <v>183.41922</v>
      </c>
      <c r="D17" t="s">
        <v>15</v>
      </c>
      <c r="E17">
        <v>186.512</v>
      </c>
      <c r="G17">
        <f t="shared" si="0"/>
        <v>3.0927800000000047</v>
      </c>
    </row>
    <row r="18" spans="1:7" x14ac:dyDescent="0.45">
      <c r="A18" t="s">
        <v>16</v>
      </c>
      <c r="B18">
        <v>1193.9522710000001</v>
      </c>
      <c r="D18" t="s">
        <v>16</v>
      </c>
      <c r="E18">
        <v>1222.0329999999999</v>
      </c>
      <c r="G18">
        <f t="shared" si="0"/>
        <v>28.080728999999792</v>
      </c>
    </row>
    <row r="19" spans="1:7" x14ac:dyDescent="0.45">
      <c r="A19" t="s">
        <v>17</v>
      </c>
      <c r="B19">
        <v>14.951164</v>
      </c>
      <c r="D19" t="s">
        <v>17</v>
      </c>
      <c r="E19">
        <v>15.268000000000001</v>
      </c>
      <c r="G19">
        <f t="shared" si="0"/>
        <v>0.31683600000000034</v>
      </c>
    </row>
    <row r="20" spans="1:7" x14ac:dyDescent="0.45">
      <c r="A20" t="s">
        <v>18</v>
      </c>
      <c r="B20">
        <v>8.1537769999999998</v>
      </c>
      <c r="D20" t="s">
        <v>18</v>
      </c>
      <c r="E20">
        <v>8.468</v>
      </c>
      <c r="G20">
        <f t="shared" si="0"/>
        <v>0.31422300000000014</v>
      </c>
    </row>
    <row r="21" spans="1:7" x14ac:dyDescent="0.45">
      <c r="A21" t="s">
        <v>19</v>
      </c>
      <c r="B21">
        <v>555.36730999999997</v>
      </c>
      <c r="D21" t="s">
        <v>19</v>
      </c>
      <c r="E21">
        <v>573.07500000000005</v>
      </c>
      <c r="G21">
        <f t="shared" si="0"/>
        <v>17.707690000000071</v>
      </c>
    </row>
    <row r="22" spans="1:7" x14ac:dyDescent="0.45">
      <c r="A22" t="s">
        <v>20</v>
      </c>
      <c r="B22">
        <v>66.437957999999995</v>
      </c>
      <c r="D22" t="s">
        <v>20</v>
      </c>
      <c r="E22">
        <v>67.929000000000002</v>
      </c>
      <c r="G22">
        <f t="shared" si="0"/>
        <v>1.4910420000000073</v>
      </c>
    </row>
    <row r="23" spans="1:7" x14ac:dyDescent="0.45">
      <c r="A23" t="s">
        <v>21</v>
      </c>
      <c r="B23">
        <v>163.70890800000001</v>
      </c>
      <c r="D23" t="s">
        <v>21</v>
      </c>
      <c r="E23">
        <v>165.91300000000001</v>
      </c>
      <c r="G23">
        <f t="shared" si="0"/>
        <v>2.2040920000000028</v>
      </c>
    </row>
    <row r="24" spans="1:7" x14ac:dyDescent="0.45">
      <c r="A24" t="s">
        <v>22</v>
      </c>
      <c r="B24">
        <v>52.066757000000003</v>
      </c>
      <c r="D24" t="s">
        <v>22</v>
      </c>
      <c r="E24">
        <v>53.863999999999997</v>
      </c>
      <c r="G24">
        <f t="shared" si="0"/>
        <v>1.7972429999999946</v>
      </c>
    </row>
    <row r="25" spans="1:7" x14ac:dyDescent="0.45">
      <c r="A25" t="s">
        <v>23</v>
      </c>
      <c r="B25">
        <v>13.475109</v>
      </c>
      <c r="D25" t="s">
        <v>23</v>
      </c>
      <c r="E25">
        <v>13.696</v>
      </c>
      <c r="G25">
        <f t="shared" si="0"/>
        <v>0.22089099999999995</v>
      </c>
    </row>
    <row r="26" spans="1:7" x14ac:dyDescent="0.45">
      <c r="A26" t="s">
        <v>24</v>
      </c>
      <c r="B26">
        <v>17.113976999999998</v>
      </c>
      <c r="D26" t="s">
        <v>24</v>
      </c>
      <c r="E26">
        <v>17.530999999999999</v>
      </c>
      <c r="G26">
        <f t="shared" si="0"/>
        <v>0.41702300000000037</v>
      </c>
    </row>
    <row r="27" spans="1:7" x14ac:dyDescent="0.45">
      <c r="A27" t="s">
        <v>25</v>
      </c>
      <c r="B27">
        <v>1024.3486330000001</v>
      </c>
      <c r="D27" t="s">
        <v>25</v>
      </c>
      <c r="E27">
        <v>1049.1569999999999</v>
      </c>
      <c r="G27">
        <f t="shared" si="0"/>
        <v>24.808366999999862</v>
      </c>
    </row>
    <row r="28" spans="1:7" x14ac:dyDescent="0.45">
      <c r="A28" t="s">
        <v>26</v>
      </c>
      <c r="B28">
        <v>1678.995361</v>
      </c>
      <c r="D28" t="s">
        <v>26</v>
      </c>
      <c r="E28">
        <v>1714.049</v>
      </c>
      <c r="G28">
        <f t="shared" si="0"/>
        <v>35.053638999999976</v>
      </c>
    </row>
    <row r="29" spans="1:7" x14ac:dyDescent="0.45">
      <c r="A29" t="s">
        <v>27</v>
      </c>
      <c r="B29">
        <v>304.31701700000002</v>
      </c>
      <c r="D29" t="s">
        <v>27</v>
      </c>
      <c r="E29">
        <v>311.12299999999999</v>
      </c>
      <c r="G29">
        <f t="shared" si="0"/>
        <v>6.8059829999999693</v>
      </c>
    </row>
    <row r="30" spans="1:7" x14ac:dyDescent="0.45">
      <c r="A30" t="s">
        <v>28</v>
      </c>
      <c r="B30">
        <v>64.941802999999993</v>
      </c>
      <c r="D30" t="s">
        <v>28</v>
      </c>
      <c r="E30">
        <v>66.466999999999999</v>
      </c>
      <c r="G30">
        <f t="shared" si="0"/>
        <v>1.5251970000000057</v>
      </c>
    </row>
    <row r="31" spans="1:7" x14ac:dyDescent="0.45">
      <c r="A31" t="s">
        <v>29</v>
      </c>
      <c r="B31">
        <v>51.564846000000003</v>
      </c>
      <c r="D31" t="s">
        <v>29</v>
      </c>
      <c r="E31">
        <v>52.875999999999998</v>
      </c>
      <c r="G31">
        <f t="shared" si="0"/>
        <v>1.3111539999999948</v>
      </c>
    </row>
    <row r="32" spans="1:7" x14ac:dyDescent="0.45">
      <c r="A32" t="s">
        <v>30</v>
      </c>
      <c r="B32">
        <v>52.111812999999998</v>
      </c>
      <c r="D32" t="s">
        <v>30</v>
      </c>
      <c r="E32">
        <v>56.804000000000002</v>
      </c>
      <c r="G32">
        <f t="shared" si="0"/>
        <v>4.6921870000000041</v>
      </c>
    </row>
    <row r="33" spans="1:7" x14ac:dyDescent="0.45">
      <c r="A33" t="s">
        <v>31</v>
      </c>
      <c r="B33">
        <v>8.5867789999999999</v>
      </c>
      <c r="D33" t="s">
        <v>31</v>
      </c>
      <c r="E33">
        <v>9.1679999999999993</v>
      </c>
      <c r="G33">
        <f t="shared" si="0"/>
        <v>0.58122099999999932</v>
      </c>
    </row>
    <row r="34" spans="1:7" x14ac:dyDescent="0.45">
      <c r="A34" t="s">
        <v>32</v>
      </c>
      <c r="B34">
        <v>284.76977499999998</v>
      </c>
      <c r="D34" t="s">
        <v>32</v>
      </c>
      <c r="E34">
        <v>291.28300000000002</v>
      </c>
      <c r="G34">
        <f t="shared" si="0"/>
        <v>6.513225000000034</v>
      </c>
    </row>
    <row r="35" spans="1:7" x14ac:dyDescent="0.45">
      <c r="A35" t="s">
        <v>33</v>
      </c>
      <c r="B35">
        <v>40.027264000000002</v>
      </c>
      <c r="D35" t="s">
        <v>33</v>
      </c>
      <c r="E35">
        <v>40.759</v>
      </c>
      <c r="G35">
        <f t="shared" si="0"/>
        <v>0.73173599999999794</v>
      </c>
    </row>
    <row r="36" spans="1:7" x14ac:dyDescent="0.45">
      <c r="A36" t="s">
        <v>34</v>
      </c>
      <c r="B36">
        <v>130.399551</v>
      </c>
      <c r="D36" t="s">
        <v>34</v>
      </c>
      <c r="E36">
        <v>133.75200000000001</v>
      </c>
      <c r="G36">
        <f t="shared" si="0"/>
        <v>3.3524490000000071</v>
      </c>
    </row>
    <row r="37" spans="1:7" x14ac:dyDescent="0.45">
      <c r="A37" t="s">
        <v>35</v>
      </c>
      <c r="B37">
        <v>3.8054739999999998</v>
      </c>
      <c r="D37" t="s">
        <v>35</v>
      </c>
      <c r="E37">
        <v>3.8919999999999999</v>
      </c>
      <c r="G37">
        <f t="shared" si="0"/>
        <v>8.6526000000000103E-2</v>
      </c>
    </row>
    <row r="38" spans="1:7" x14ac:dyDescent="0.45">
      <c r="A38" t="s">
        <v>36</v>
      </c>
      <c r="B38">
        <v>117.552635</v>
      </c>
      <c r="D38" t="s">
        <v>36</v>
      </c>
      <c r="E38">
        <v>119.232</v>
      </c>
      <c r="G38">
        <f t="shared" si="0"/>
        <v>1.6793650000000042</v>
      </c>
    </row>
    <row r="39" spans="1:7" x14ac:dyDescent="0.45">
      <c r="A39" t="s">
        <v>37</v>
      </c>
      <c r="B39">
        <v>69.992858999999996</v>
      </c>
      <c r="D39" t="s">
        <v>37</v>
      </c>
      <c r="E39">
        <v>73.853999999999999</v>
      </c>
      <c r="G39">
        <f t="shared" si="0"/>
        <v>3.8611410000000035</v>
      </c>
    </row>
    <row r="40" spans="1:7" x14ac:dyDescent="0.45">
      <c r="A40" t="s">
        <v>38</v>
      </c>
      <c r="B40">
        <v>14.212431</v>
      </c>
      <c r="D40" t="s">
        <v>38</v>
      </c>
      <c r="E40">
        <v>14.593</v>
      </c>
      <c r="G40">
        <f t="shared" si="0"/>
        <v>0.38056899999999949</v>
      </c>
    </row>
    <row r="41" spans="1:7" x14ac:dyDescent="0.45">
      <c r="A41" t="s">
        <v>39</v>
      </c>
      <c r="B41">
        <v>80.276268000000002</v>
      </c>
      <c r="D41" t="s">
        <v>39</v>
      </c>
      <c r="E41">
        <v>81.680999999999997</v>
      </c>
      <c r="G41">
        <f t="shared" si="0"/>
        <v>1.4047319999999957</v>
      </c>
    </row>
    <row r="42" spans="1:7" x14ac:dyDescent="0.45">
      <c r="A42" t="s">
        <v>40</v>
      </c>
      <c r="B42">
        <v>2040.565918</v>
      </c>
      <c r="D42" t="s">
        <v>40</v>
      </c>
      <c r="E42">
        <v>2076.114</v>
      </c>
      <c r="G42">
        <f t="shared" si="0"/>
        <v>35.548082000000022</v>
      </c>
    </row>
    <row r="43" spans="1:7" x14ac:dyDescent="0.45">
      <c r="A43" t="s">
        <v>41</v>
      </c>
      <c r="B43">
        <v>45.370730999999999</v>
      </c>
      <c r="D43" t="s">
        <v>41</v>
      </c>
      <c r="E43">
        <v>46.798000000000002</v>
      </c>
      <c r="G43">
        <f t="shared" si="0"/>
        <v>1.4272690000000026</v>
      </c>
    </row>
    <row r="44" spans="1:7" x14ac:dyDescent="0.45">
      <c r="A44" t="s">
        <v>42</v>
      </c>
      <c r="B44">
        <v>256.37393200000002</v>
      </c>
      <c r="D44" t="s">
        <v>42</v>
      </c>
      <c r="E44">
        <v>265.44499999999999</v>
      </c>
      <c r="G44">
        <f t="shared" si="0"/>
        <v>9.0710679999999684</v>
      </c>
    </row>
    <row r="45" spans="1:7" x14ac:dyDescent="0.45">
      <c r="A45" t="s">
        <v>43</v>
      </c>
      <c r="B45">
        <v>124.87365</v>
      </c>
      <c r="D45" t="s">
        <v>43</v>
      </c>
      <c r="E45">
        <v>128.178</v>
      </c>
      <c r="G45">
        <f t="shared" si="0"/>
        <v>3.3043499999999995</v>
      </c>
    </row>
    <row r="46" spans="1:7" x14ac:dyDescent="0.45">
      <c r="A46" t="s">
        <v>44</v>
      </c>
      <c r="B46">
        <v>56.617508000000001</v>
      </c>
      <c r="D46" t="s">
        <v>44</v>
      </c>
      <c r="E46">
        <v>57.625999999999998</v>
      </c>
      <c r="G46">
        <f t="shared" si="0"/>
        <v>1.0084919999999968</v>
      </c>
    </row>
    <row r="47" spans="1:7" x14ac:dyDescent="0.45">
      <c r="A47" t="s">
        <v>45</v>
      </c>
      <c r="B47">
        <v>36.362423</v>
      </c>
      <c r="D47" t="s">
        <v>45</v>
      </c>
      <c r="E47">
        <v>37.628</v>
      </c>
      <c r="G47">
        <f t="shared" si="0"/>
        <v>1.2655770000000004</v>
      </c>
    </row>
    <row r="48" spans="1:7" x14ac:dyDescent="0.45">
      <c r="A48" t="s">
        <v>46</v>
      </c>
      <c r="B48">
        <v>2.2999809999999998</v>
      </c>
      <c r="D48" t="s">
        <v>46</v>
      </c>
      <c r="E48">
        <v>2.371</v>
      </c>
      <c r="G48">
        <f t="shared" si="0"/>
        <v>7.1019000000000165E-2</v>
      </c>
    </row>
    <row r="49" spans="1:7" x14ac:dyDescent="0.45">
      <c r="A49" t="s">
        <v>47</v>
      </c>
      <c r="B49">
        <v>6.1867289999999997</v>
      </c>
      <c r="D49" t="s">
        <v>47</v>
      </c>
      <c r="E49">
        <v>6.4480000000000004</v>
      </c>
      <c r="G49">
        <f t="shared" si="0"/>
        <v>0.2612710000000007</v>
      </c>
    </row>
    <row r="50" spans="1:7" x14ac:dyDescent="0.45">
      <c r="A50" t="s">
        <v>48</v>
      </c>
      <c r="B50">
        <v>27.694513000000001</v>
      </c>
      <c r="D50" t="s">
        <v>48</v>
      </c>
      <c r="E50">
        <v>28.968</v>
      </c>
      <c r="G50">
        <f t="shared" si="0"/>
        <v>1.2734869999999994</v>
      </c>
    </row>
    <row r="51" spans="1:7" x14ac:dyDescent="0.45">
      <c r="A51" t="s">
        <v>49</v>
      </c>
      <c r="B51">
        <v>23.227554000000001</v>
      </c>
      <c r="D51" t="s">
        <v>49</v>
      </c>
      <c r="E51">
        <v>23.347000000000001</v>
      </c>
      <c r="G51">
        <f t="shared" si="0"/>
        <v>0.11944599999999994</v>
      </c>
    </row>
    <row r="52" spans="1:7" x14ac:dyDescent="0.45">
      <c r="A52" t="s">
        <v>50</v>
      </c>
      <c r="B52">
        <v>257.92181399999998</v>
      </c>
      <c r="D52" t="s">
        <v>50</v>
      </c>
      <c r="E52">
        <v>264.35300000000001</v>
      </c>
      <c r="G52">
        <f t="shared" si="0"/>
        <v>6.4311860000000252</v>
      </c>
    </row>
    <row r="53" spans="1:7" x14ac:dyDescent="0.45">
      <c r="A53" t="s">
        <v>51</v>
      </c>
      <c r="B53">
        <v>26.918669000000001</v>
      </c>
      <c r="D53" t="s">
        <v>51</v>
      </c>
      <c r="E53">
        <v>27.606999999999999</v>
      </c>
      <c r="G53">
        <f t="shared" si="0"/>
        <v>0.68833099999999803</v>
      </c>
    </row>
    <row r="54" spans="1:7" x14ac:dyDescent="0.45">
      <c r="A54" t="s">
        <v>52</v>
      </c>
      <c r="B54">
        <v>237.988922</v>
      </c>
      <c r="D54" t="s">
        <v>52</v>
      </c>
      <c r="E54">
        <v>242.51599999999999</v>
      </c>
      <c r="G54">
        <f t="shared" si="0"/>
        <v>4.5270779999999888</v>
      </c>
    </row>
    <row r="55" spans="1:7" x14ac:dyDescent="0.45">
      <c r="A55" t="s">
        <v>53</v>
      </c>
      <c r="B55">
        <v>12.356973</v>
      </c>
      <c r="D55" t="s">
        <v>53</v>
      </c>
      <c r="E55">
        <v>13.375999999999999</v>
      </c>
      <c r="G55">
        <f t="shared" si="0"/>
        <v>1.0190269999999995</v>
      </c>
    </row>
    <row r="56" spans="1:7" x14ac:dyDescent="0.45">
      <c r="A56" t="s">
        <v>54</v>
      </c>
      <c r="B56">
        <v>48.544811000000003</v>
      </c>
      <c r="D56" t="s">
        <v>54</v>
      </c>
      <c r="E56">
        <v>49.436</v>
      </c>
      <c r="G56">
        <f t="shared" si="0"/>
        <v>0.89118899999999712</v>
      </c>
    </row>
    <row r="57" spans="1:7" x14ac:dyDescent="0.45">
      <c r="A57" t="s">
        <v>55</v>
      </c>
      <c r="B57">
        <v>72.834525999999997</v>
      </c>
      <c r="D57" t="s">
        <v>55</v>
      </c>
      <c r="E57">
        <v>77.334000000000003</v>
      </c>
      <c r="G57">
        <f t="shared" si="0"/>
        <v>4.4994740000000064</v>
      </c>
    </row>
    <row r="58" spans="1:7" x14ac:dyDescent="0.45">
      <c r="A58" t="s">
        <v>56</v>
      </c>
      <c r="B58">
        <v>39.859389999999998</v>
      </c>
      <c r="D58" t="s">
        <v>56</v>
      </c>
      <c r="E58">
        <v>40.503999999999998</v>
      </c>
      <c r="G58">
        <f t="shared" si="0"/>
        <v>0.64461000000000013</v>
      </c>
    </row>
    <row r="59" spans="1:7" x14ac:dyDescent="0.45">
      <c r="A59" t="s">
        <v>57</v>
      </c>
      <c r="B59">
        <v>67.309387000000001</v>
      </c>
      <c r="D59" t="s">
        <v>57</v>
      </c>
      <c r="E59">
        <v>70.866</v>
      </c>
      <c r="G59">
        <f t="shared" si="0"/>
        <v>3.5566129999999987</v>
      </c>
    </row>
    <row r="60" spans="1:7" x14ac:dyDescent="0.45">
      <c r="A60" t="s">
        <v>58</v>
      </c>
      <c r="B60">
        <v>222.529404</v>
      </c>
      <c r="D60" t="s">
        <v>58</v>
      </c>
      <c r="E60">
        <v>226.23500000000001</v>
      </c>
      <c r="G60">
        <f t="shared" si="0"/>
        <v>3.7055960000000141</v>
      </c>
    </row>
    <row r="61" spans="1:7" x14ac:dyDescent="0.45">
      <c r="A61" t="s">
        <v>59</v>
      </c>
      <c r="B61">
        <v>21.064878</v>
      </c>
      <c r="D61" t="s">
        <v>59</v>
      </c>
      <c r="E61">
        <v>21.588000000000001</v>
      </c>
      <c r="G61">
        <f t="shared" si="0"/>
        <v>0.52312200000000075</v>
      </c>
    </row>
    <row r="62" spans="1:7" x14ac:dyDescent="0.45">
      <c r="A62" t="s">
        <v>60</v>
      </c>
      <c r="B62">
        <v>60.742728999999997</v>
      </c>
      <c r="D62" t="s">
        <v>60</v>
      </c>
      <c r="E62">
        <v>63.95</v>
      </c>
      <c r="G62">
        <f t="shared" si="0"/>
        <v>3.2072710000000058</v>
      </c>
    </row>
    <row r="63" spans="1:7" x14ac:dyDescent="0.45">
      <c r="A63" t="s">
        <v>61</v>
      </c>
      <c r="B63">
        <v>109.86119100000001</v>
      </c>
      <c r="D63" t="s">
        <v>61</v>
      </c>
      <c r="E63">
        <v>111.88</v>
      </c>
      <c r="G63">
        <f t="shared" si="0"/>
        <v>2.0188089999999903</v>
      </c>
    </row>
    <row r="64" spans="1:7" x14ac:dyDescent="0.45">
      <c r="A64" t="s">
        <v>62</v>
      </c>
      <c r="B64">
        <v>290.42507899999998</v>
      </c>
      <c r="D64" t="s">
        <v>62</v>
      </c>
      <c r="E64">
        <v>298.79700000000003</v>
      </c>
      <c r="G64">
        <f t="shared" si="0"/>
        <v>8.371921000000043</v>
      </c>
    </row>
    <row r="65" spans="1:8" x14ac:dyDescent="0.45">
      <c r="A65" t="s">
        <v>63</v>
      </c>
      <c r="B65">
        <v>653.86956799999996</v>
      </c>
      <c r="D65" t="s">
        <v>63</v>
      </c>
      <c r="E65">
        <v>667.09699999999998</v>
      </c>
      <c r="G65">
        <f t="shared" si="0"/>
        <v>13.227432000000022</v>
      </c>
    </row>
    <row r="66" spans="1:8" x14ac:dyDescent="0.45">
      <c r="A66" t="s">
        <v>64</v>
      </c>
      <c r="B66">
        <v>35.822535999999999</v>
      </c>
      <c r="D66" t="s">
        <v>64</v>
      </c>
      <c r="E66">
        <v>37.180999999999997</v>
      </c>
      <c r="G66">
        <f t="shared" si="0"/>
        <v>1.3584639999999979</v>
      </c>
    </row>
    <row r="67" spans="1:8" x14ac:dyDescent="0.45">
      <c r="A67" t="s">
        <v>65</v>
      </c>
      <c r="B67">
        <v>122.177734</v>
      </c>
      <c r="D67" t="s">
        <v>65</v>
      </c>
      <c r="E67">
        <v>125.648</v>
      </c>
      <c r="G67">
        <f t="shared" si="0"/>
        <v>3.4702659999999952</v>
      </c>
    </row>
    <row r="68" spans="1:8" x14ac:dyDescent="0.45">
      <c r="A68" t="s">
        <v>66</v>
      </c>
      <c r="B68">
        <v>17.599318</v>
      </c>
      <c r="D68" t="s">
        <v>66</v>
      </c>
      <c r="E68">
        <v>18.116</v>
      </c>
      <c r="G68">
        <f t="shared" ref="G68" si="1">E68-B68</f>
        <v>0.51668199999999942</v>
      </c>
    </row>
    <row r="70" spans="1:8" x14ac:dyDescent="0.45">
      <c r="B70">
        <f>SUM(B3:B68)</f>
        <v>23572.286656000015</v>
      </c>
      <c r="E70">
        <f>SUM(E3:E68)</f>
        <v>24111.054000000011</v>
      </c>
      <c r="G70">
        <f>SUM(G3:G68)</f>
        <v>538.76734400000055</v>
      </c>
      <c r="H70" s="1">
        <f>G70/B70</f>
        <v>2.2855964373013613E-2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0B9CA-2581-4862-830B-8C8BBBD7F143}">
  <dimension ref="A1:H70"/>
  <sheetViews>
    <sheetView topLeftCell="A61" workbookViewId="0">
      <selection activeCell="H70" sqref="H70"/>
    </sheetView>
  </sheetViews>
  <sheetFormatPr defaultRowHeight="14.25" x14ac:dyDescent="0.45"/>
  <cols>
    <col min="2" max="2" width="12" bestFit="1" customWidth="1"/>
  </cols>
  <sheetData>
    <row r="1" spans="1:7" x14ac:dyDescent="0.45">
      <c r="B1" t="s">
        <v>67</v>
      </c>
      <c r="E1" t="s">
        <v>68</v>
      </c>
      <c r="G1" t="s">
        <v>69</v>
      </c>
    </row>
    <row r="2" spans="1:7" x14ac:dyDescent="0.45">
      <c r="A2" t="s">
        <v>0</v>
      </c>
      <c r="B2" t="s">
        <v>0</v>
      </c>
      <c r="D2" t="s">
        <v>0</v>
      </c>
      <c r="E2" t="s">
        <v>0</v>
      </c>
    </row>
    <row r="3" spans="1:7" x14ac:dyDescent="0.45">
      <c r="A3" t="s">
        <v>1</v>
      </c>
      <c r="B3">
        <v>128.81083699999999</v>
      </c>
      <c r="D3" t="s">
        <v>1</v>
      </c>
      <c r="E3">
        <v>134.94800000000001</v>
      </c>
      <c r="G3">
        <f>E3-B3</f>
        <v>6.1371630000000152</v>
      </c>
    </row>
    <row r="4" spans="1:7" x14ac:dyDescent="0.45">
      <c r="A4" t="s">
        <v>2</v>
      </c>
      <c r="B4">
        <v>910.80059800000004</v>
      </c>
      <c r="D4" t="s">
        <v>2</v>
      </c>
      <c r="E4">
        <v>951.52800000000002</v>
      </c>
      <c r="G4">
        <f t="shared" ref="G4:G67" si="0">E4-B4</f>
        <v>40.727401999999984</v>
      </c>
    </row>
    <row r="5" spans="1:7" x14ac:dyDescent="0.45">
      <c r="A5" t="s">
        <v>3</v>
      </c>
      <c r="B5">
        <v>204.379761</v>
      </c>
      <c r="D5" t="s">
        <v>3</v>
      </c>
      <c r="E5">
        <v>211.137</v>
      </c>
      <c r="G5">
        <f t="shared" si="0"/>
        <v>6.7572389999999984</v>
      </c>
    </row>
    <row r="6" spans="1:7" x14ac:dyDescent="0.45">
      <c r="A6" t="s">
        <v>4</v>
      </c>
      <c r="B6">
        <v>94.820250999999999</v>
      </c>
      <c r="D6" t="s">
        <v>4</v>
      </c>
      <c r="E6">
        <v>93.882000000000005</v>
      </c>
      <c r="G6">
        <f t="shared" si="0"/>
        <v>-0.93825099999999395</v>
      </c>
    </row>
    <row r="7" spans="1:7" x14ac:dyDescent="0.45">
      <c r="A7" t="s">
        <v>5</v>
      </c>
      <c r="B7">
        <v>132.49259900000001</v>
      </c>
      <c r="D7" t="s">
        <v>5</v>
      </c>
      <c r="E7">
        <v>137.72900000000001</v>
      </c>
      <c r="G7">
        <f t="shared" si="0"/>
        <v>5.2364010000000007</v>
      </c>
    </row>
    <row r="8" spans="1:7" x14ac:dyDescent="0.45">
      <c r="A8" t="s">
        <v>6</v>
      </c>
      <c r="B8">
        <v>6960.5522460000002</v>
      </c>
      <c r="D8" t="s">
        <v>6</v>
      </c>
      <c r="E8">
        <v>7069.5690000000004</v>
      </c>
      <c r="G8">
        <f t="shared" si="0"/>
        <v>109.01675400000022</v>
      </c>
    </row>
    <row r="9" spans="1:7" x14ac:dyDescent="0.45">
      <c r="A9" t="s">
        <v>7</v>
      </c>
      <c r="B9">
        <v>893.53259300000002</v>
      </c>
      <c r="D9" t="s">
        <v>7</v>
      </c>
      <c r="E9">
        <v>931.63099999999997</v>
      </c>
      <c r="G9">
        <f t="shared" si="0"/>
        <v>38.098406999999952</v>
      </c>
    </row>
    <row r="10" spans="1:7" x14ac:dyDescent="0.45">
      <c r="A10" t="s">
        <v>8</v>
      </c>
      <c r="B10">
        <v>73653.414061999996</v>
      </c>
      <c r="D10" t="s">
        <v>8</v>
      </c>
      <c r="E10">
        <v>73717.289000000004</v>
      </c>
      <c r="G10">
        <f t="shared" si="0"/>
        <v>63.874938000008115</v>
      </c>
    </row>
    <row r="11" spans="1:7" x14ac:dyDescent="0.45">
      <c r="A11" t="s">
        <v>9</v>
      </c>
      <c r="B11">
        <v>1674.5942379999999</v>
      </c>
      <c r="D11" t="s">
        <v>9</v>
      </c>
      <c r="E11">
        <v>1785.691</v>
      </c>
      <c r="G11">
        <f t="shared" si="0"/>
        <v>111.09676200000013</v>
      </c>
    </row>
    <row r="12" spans="1:7" x14ac:dyDescent="0.45">
      <c r="A12" t="s">
        <v>10</v>
      </c>
      <c r="B12">
        <v>731.04180899999994</v>
      </c>
      <c r="D12" t="s">
        <v>10</v>
      </c>
      <c r="E12">
        <v>765.84100000000001</v>
      </c>
      <c r="G12">
        <f t="shared" si="0"/>
        <v>34.799191000000064</v>
      </c>
    </row>
    <row r="13" spans="1:7" x14ac:dyDescent="0.45">
      <c r="A13" t="s">
        <v>11</v>
      </c>
      <c r="B13">
        <v>292.300476</v>
      </c>
      <c r="D13" t="s">
        <v>11</v>
      </c>
      <c r="E13">
        <v>300.14800000000002</v>
      </c>
      <c r="G13">
        <f t="shared" si="0"/>
        <v>7.8475240000000213</v>
      </c>
    </row>
    <row r="14" spans="1:7" x14ac:dyDescent="0.45">
      <c r="A14" t="s">
        <v>12</v>
      </c>
      <c r="B14">
        <v>237.75109900000001</v>
      </c>
      <c r="D14" t="s">
        <v>12</v>
      </c>
      <c r="E14">
        <v>259.08499999999998</v>
      </c>
      <c r="G14">
        <f t="shared" si="0"/>
        <v>21.333900999999969</v>
      </c>
    </row>
    <row r="15" spans="1:7" x14ac:dyDescent="0.45">
      <c r="A15" t="s">
        <v>13</v>
      </c>
      <c r="B15">
        <v>349.46087599999998</v>
      </c>
      <c r="D15" t="s">
        <v>13</v>
      </c>
      <c r="E15">
        <v>373.363</v>
      </c>
      <c r="G15">
        <f t="shared" si="0"/>
        <v>23.902124000000015</v>
      </c>
    </row>
    <row r="16" spans="1:7" x14ac:dyDescent="0.45">
      <c r="A16" t="s">
        <v>14</v>
      </c>
      <c r="B16">
        <v>1021.152832</v>
      </c>
      <c r="D16" t="s">
        <v>14</v>
      </c>
      <c r="E16">
        <v>1044.8399999999999</v>
      </c>
      <c r="G16">
        <f t="shared" si="0"/>
        <v>23.687167999999929</v>
      </c>
    </row>
    <row r="17" spans="1:7" x14ac:dyDescent="0.45">
      <c r="A17" t="s">
        <v>15</v>
      </c>
      <c r="B17">
        <v>489.68359400000003</v>
      </c>
      <c r="D17" t="s">
        <v>15</v>
      </c>
      <c r="E17">
        <v>494.84300000000002</v>
      </c>
      <c r="G17">
        <f t="shared" si="0"/>
        <v>5.1594059999999899</v>
      </c>
    </row>
    <row r="18" spans="1:7" x14ac:dyDescent="0.45">
      <c r="A18" t="s">
        <v>16</v>
      </c>
      <c r="B18">
        <v>8122.3959960000002</v>
      </c>
      <c r="D18" t="s">
        <v>16</v>
      </c>
      <c r="E18">
        <v>8347.1560000000009</v>
      </c>
      <c r="G18">
        <f t="shared" si="0"/>
        <v>224.76000400000066</v>
      </c>
    </row>
    <row r="19" spans="1:7" x14ac:dyDescent="0.45">
      <c r="A19" t="s">
        <v>17</v>
      </c>
      <c r="B19">
        <v>313.67758199999997</v>
      </c>
      <c r="D19" t="s">
        <v>17</v>
      </c>
      <c r="E19">
        <v>328.995</v>
      </c>
      <c r="G19">
        <f t="shared" si="0"/>
        <v>15.317418000000032</v>
      </c>
    </row>
    <row r="20" spans="1:7" x14ac:dyDescent="0.45">
      <c r="A20" t="s">
        <v>18</v>
      </c>
      <c r="B20">
        <v>129.14189099999999</v>
      </c>
      <c r="D20" t="s">
        <v>18</v>
      </c>
      <c r="E20">
        <v>134.75299999999999</v>
      </c>
      <c r="G20">
        <f t="shared" si="0"/>
        <v>5.611108999999999</v>
      </c>
    </row>
    <row r="21" spans="1:7" x14ac:dyDescent="0.45">
      <c r="A21" t="s">
        <v>19</v>
      </c>
      <c r="B21">
        <v>3840.468018</v>
      </c>
      <c r="D21" t="s">
        <v>19</v>
      </c>
      <c r="E21">
        <v>4060.71</v>
      </c>
      <c r="G21">
        <f t="shared" si="0"/>
        <v>220.24198200000001</v>
      </c>
    </row>
    <row r="22" spans="1:7" x14ac:dyDescent="0.45">
      <c r="A22" t="s">
        <v>20</v>
      </c>
      <c r="B22">
        <v>1575.1239009999999</v>
      </c>
      <c r="D22" t="s">
        <v>20</v>
      </c>
      <c r="E22">
        <v>1613.588</v>
      </c>
      <c r="G22">
        <f t="shared" si="0"/>
        <v>38.464099000000033</v>
      </c>
    </row>
    <row r="23" spans="1:7" x14ac:dyDescent="0.45">
      <c r="A23" t="s">
        <v>21</v>
      </c>
      <c r="B23">
        <v>2014.759399</v>
      </c>
      <c r="D23" t="s">
        <v>21</v>
      </c>
      <c r="E23">
        <v>1993.32</v>
      </c>
      <c r="G23">
        <f t="shared" si="0"/>
        <v>-21.439399000000094</v>
      </c>
    </row>
    <row r="24" spans="1:7" x14ac:dyDescent="0.45">
      <c r="A24" t="s">
        <v>22</v>
      </c>
      <c r="B24">
        <v>691.22717299999999</v>
      </c>
      <c r="D24" t="s">
        <v>22</v>
      </c>
      <c r="E24">
        <v>739.00300000000004</v>
      </c>
      <c r="G24">
        <f t="shared" si="0"/>
        <v>47.775827000000049</v>
      </c>
    </row>
    <row r="25" spans="1:7" x14ac:dyDescent="0.45">
      <c r="A25" t="s">
        <v>23</v>
      </c>
      <c r="B25">
        <v>258.74920700000001</v>
      </c>
      <c r="D25" t="s">
        <v>23</v>
      </c>
      <c r="E25">
        <v>263.35399999999998</v>
      </c>
      <c r="G25">
        <f t="shared" si="0"/>
        <v>4.6047929999999724</v>
      </c>
    </row>
    <row r="26" spans="1:7" x14ac:dyDescent="0.45">
      <c r="A26" t="s">
        <v>24</v>
      </c>
      <c r="B26">
        <v>344.68194599999998</v>
      </c>
      <c r="D26" t="s">
        <v>24</v>
      </c>
      <c r="E26">
        <v>355.13799999999998</v>
      </c>
      <c r="G26">
        <f t="shared" si="0"/>
        <v>10.456053999999995</v>
      </c>
    </row>
    <row r="27" spans="1:7" x14ac:dyDescent="0.45">
      <c r="A27" t="s">
        <v>25</v>
      </c>
      <c r="B27">
        <v>12391.322265999999</v>
      </c>
      <c r="D27" t="s">
        <v>25</v>
      </c>
      <c r="E27">
        <v>12687.254999999999</v>
      </c>
      <c r="G27">
        <f t="shared" si="0"/>
        <v>295.93273399999998</v>
      </c>
    </row>
    <row r="28" spans="1:7" x14ac:dyDescent="0.45">
      <c r="A28" t="s">
        <v>26</v>
      </c>
      <c r="B28">
        <v>10034.666015999999</v>
      </c>
      <c r="D28" t="s">
        <v>26</v>
      </c>
      <c r="E28">
        <v>10223.831</v>
      </c>
      <c r="G28">
        <f t="shared" si="0"/>
        <v>189.16498400000091</v>
      </c>
    </row>
    <row r="29" spans="1:7" x14ac:dyDescent="0.45">
      <c r="A29" t="s">
        <v>27</v>
      </c>
      <c r="B29">
        <v>1978.3670649999999</v>
      </c>
      <c r="D29" t="s">
        <v>27</v>
      </c>
      <c r="E29">
        <v>2033.586</v>
      </c>
      <c r="G29">
        <f t="shared" si="0"/>
        <v>55.218935000000101</v>
      </c>
    </row>
    <row r="30" spans="1:7" x14ac:dyDescent="0.45">
      <c r="A30" t="s">
        <v>28</v>
      </c>
      <c r="B30">
        <v>1341.66687</v>
      </c>
      <c r="D30" t="s">
        <v>28</v>
      </c>
      <c r="E30">
        <v>1332.202</v>
      </c>
      <c r="G30">
        <f t="shared" si="0"/>
        <v>-9.464870000000019</v>
      </c>
    </row>
    <row r="31" spans="1:7" x14ac:dyDescent="0.45">
      <c r="A31" t="s">
        <v>29</v>
      </c>
      <c r="B31">
        <v>899.98742700000003</v>
      </c>
      <c r="D31" t="s">
        <v>29</v>
      </c>
      <c r="E31">
        <v>933.21699999999998</v>
      </c>
      <c r="G31">
        <f t="shared" si="0"/>
        <v>33.229572999999959</v>
      </c>
    </row>
    <row r="32" spans="1:7" x14ac:dyDescent="0.45">
      <c r="A32" t="s">
        <v>30</v>
      </c>
      <c r="B32">
        <v>456.53045700000001</v>
      </c>
      <c r="D32" t="s">
        <v>30</v>
      </c>
      <c r="E32">
        <v>475.24900000000002</v>
      </c>
      <c r="G32">
        <f t="shared" si="0"/>
        <v>18.718543000000011</v>
      </c>
    </row>
    <row r="33" spans="1:7" x14ac:dyDescent="0.45">
      <c r="A33" t="s">
        <v>31</v>
      </c>
      <c r="B33">
        <v>226.772064</v>
      </c>
      <c r="D33" t="s">
        <v>31</v>
      </c>
      <c r="E33">
        <v>251.37299999999999</v>
      </c>
      <c r="G33">
        <f t="shared" si="0"/>
        <v>24.60093599999999</v>
      </c>
    </row>
    <row r="34" spans="1:7" x14ac:dyDescent="0.45">
      <c r="A34" t="s">
        <v>32</v>
      </c>
      <c r="B34">
        <v>8075.4833980000003</v>
      </c>
      <c r="D34" t="s">
        <v>32</v>
      </c>
      <c r="E34">
        <v>8332.643</v>
      </c>
      <c r="G34">
        <f t="shared" si="0"/>
        <v>257.15960199999972</v>
      </c>
    </row>
    <row r="35" spans="1:7" x14ac:dyDescent="0.45">
      <c r="A35" t="s">
        <v>33</v>
      </c>
      <c r="B35">
        <v>713.48236099999997</v>
      </c>
      <c r="D35" t="s">
        <v>33</v>
      </c>
      <c r="E35">
        <v>717.35599999999999</v>
      </c>
      <c r="G35">
        <f t="shared" si="0"/>
        <v>3.8736390000000256</v>
      </c>
    </row>
    <row r="36" spans="1:7" x14ac:dyDescent="0.45">
      <c r="A36" t="s">
        <v>34</v>
      </c>
      <c r="B36">
        <v>1545.9095460000001</v>
      </c>
      <c r="D36" t="s">
        <v>34</v>
      </c>
      <c r="E36">
        <v>1590.29</v>
      </c>
      <c r="G36">
        <f t="shared" si="0"/>
        <v>44.380453999999872</v>
      </c>
    </row>
    <row r="37" spans="1:7" x14ac:dyDescent="0.45">
      <c r="A37" t="s">
        <v>35</v>
      </c>
      <c r="B37">
        <v>61.498218999999999</v>
      </c>
      <c r="D37" t="s">
        <v>35</v>
      </c>
      <c r="E37">
        <v>64.177999999999997</v>
      </c>
      <c r="G37">
        <f t="shared" si="0"/>
        <v>2.6797809999999984</v>
      </c>
    </row>
    <row r="38" spans="1:7" x14ac:dyDescent="0.45">
      <c r="A38" t="s">
        <v>36</v>
      </c>
      <c r="B38">
        <v>7299.5688479999999</v>
      </c>
      <c r="D38" t="s">
        <v>36</v>
      </c>
      <c r="E38">
        <v>7262.3180000000002</v>
      </c>
      <c r="G38">
        <f t="shared" si="0"/>
        <v>-37.250847999999678</v>
      </c>
    </row>
    <row r="39" spans="1:7" x14ac:dyDescent="0.45">
      <c r="A39" t="s">
        <v>37</v>
      </c>
      <c r="B39">
        <v>512.418274</v>
      </c>
      <c r="D39" t="s">
        <v>37</v>
      </c>
      <c r="E39">
        <v>534.16399999999999</v>
      </c>
      <c r="G39">
        <f t="shared" si="0"/>
        <v>21.745725999999991</v>
      </c>
    </row>
    <row r="40" spans="1:7" x14ac:dyDescent="0.45">
      <c r="A40" t="s">
        <v>38</v>
      </c>
      <c r="B40">
        <v>167.12683100000001</v>
      </c>
      <c r="D40" t="s">
        <v>38</v>
      </c>
      <c r="E40">
        <v>168.048</v>
      </c>
      <c r="G40">
        <f t="shared" si="0"/>
        <v>0.92116899999999191</v>
      </c>
    </row>
    <row r="41" spans="1:7" x14ac:dyDescent="0.45">
      <c r="A41" t="s">
        <v>39</v>
      </c>
      <c r="B41">
        <v>348.18185399999999</v>
      </c>
      <c r="D41" t="s">
        <v>39</v>
      </c>
      <c r="E41">
        <v>365.077</v>
      </c>
      <c r="G41">
        <f t="shared" si="0"/>
        <v>16.895146000000011</v>
      </c>
    </row>
    <row r="42" spans="1:7" x14ac:dyDescent="0.45">
      <c r="A42" t="s">
        <v>40</v>
      </c>
      <c r="B42">
        <v>11223.341796999999</v>
      </c>
      <c r="D42" t="s">
        <v>40</v>
      </c>
      <c r="E42">
        <v>11341.853999999999</v>
      </c>
      <c r="G42">
        <f t="shared" si="0"/>
        <v>118.51220300000023</v>
      </c>
    </row>
    <row r="43" spans="1:7" x14ac:dyDescent="0.45">
      <c r="A43" t="s">
        <v>41</v>
      </c>
      <c r="B43">
        <v>703.82293700000002</v>
      </c>
      <c r="D43" t="s">
        <v>41</v>
      </c>
      <c r="E43">
        <v>754.48099999999999</v>
      </c>
      <c r="G43">
        <f t="shared" si="0"/>
        <v>50.65806299999997</v>
      </c>
    </row>
    <row r="44" spans="1:7" x14ac:dyDescent="0.45">
      <c r="A44" t="s">
        <v>42</v>
      </c>
      <c r="B44">
        <v>3441.2478030000002</v>
      </c>
      <c r="D44" t="s">
        <v>42</v>
      </c>
      <c r="E44">
        <v>3432.1759999999999</v>
      </c>
      <c r="G44">
        <f t="shared" si="0"/>
        <v>-9.0718030000002727</v>
      </c>
    </row>
    <row r="45" spans="1:7" x14ac:dyDescent="0.45">
      <c r="A45" t="s">
        <v>43</v>
      </c>
      <c r="B45">
        <v>1761.125732</v>
      </c>
      <c r="D45" t="s">
        <v>43</v>
      </c>
      <c r="E45">
        <v>1813.5530000000001</v>
      </c>
      <c r="G45">
        <f t="shared" si="0"/>
        <v>52.42726800000014</v>
      </c>
    </row>
    <row r="46" spans="1:7" x14ac:dyDescent="0.45">
      <c r="A46" t="s">
        <v>44</v>
      </c>
      <c r="B46">
        <v>1338.5167240000001</v>
      </c>
      <c r="D46" t="s">
        <v>44</v>
      </c>
      <c r="E46">
        <v>1381.415</v>
      </c>
      <c r="G46">
        <f t="shared" si="0"/>
        <v>42.898275999999896</v>
      </c>
    </row>
    <row r="47" spans="1:7" x14ac:dyDescent="0.45">
      <c r="A47" t="s">
        <v>45</v>
      </c>
      <c r="B47">
        <v>668.12664800000005</v>
      </c>
      <c r="D47" t="s">
        <v>45</v>
      </c>
      <c r="E47">
        <v>699.62199999999996</v>
      </c>
      <c r="G47">
        <f t="shared" si="0"/>
        <v>31.495351999999912</v>
      </c>
    </row>
    <row r="48" spans="1:7" x14ac:dyDescent="0.45">
      <c r="A48" t="s">
        <v>46</v>
      </c>
      <c r="B48">
        <v>25.547567000000001</v>
      </c>
      <c r="D48" t="s">
        <v>46</v>
      </c>
      <c r="E48">
        <v>26.727</v>
      </c>
      <c r="G48">
        <f t="shared" si="0"/>
        <v>1.1794329999999995</v>
      </c>
    </row>
    <row r="49" spans="1:7" x14ac:dyDescent="0.45">
      <c r="A49" t="s">
        <v>47</v>
      </c>
      <c r="B49">
        <v>100.841179</v>
      </c>
      <c r="D49" t="s">
        <v>47</v>
      </c>
      <c r="E49">
        <v>105.572</v>
      </c>
      <c r="G49">
        <f t="shared" si="0"/>
        <v>4.7308210000000059</v>
      </c>
    </row>
    <row r="50" spans="1:7" x14ac:dyDescent="0.45">
      <c r="A50" t="s">
        <v>48</v>
      </c>
      <c r="B50">
        <v>1931.2042240000001</v>
      </c>
      <c r="D50" t="s">
        <v>48</v>
      </c>
      <c r="E50">
        <v>2033.365</v>
      </c>
      <c r="G50">
        <f t="shared" si="0"/>
        <v>102.16077599999994</v>
      </c>
    </row>
    <row r="51" spans="1:7" x14ac:dyDescent="0.45">
      <c r="A51" t="s">
        <v>49</v>
      </c>
      <c r="B51">
        <v>618.18554700000004</v>
      </c>
      <c r="D51" t="s">
        <v>49</v>
      </c>
      <c r="E51">
        <v>627.34</v>
      </c>
      <c r="G51">
        <f t="shared" si="0"/>
        <v>9.1544529999999895</v>
      </c>
    </row>
    <row r="52" spans="1:7" x14ac:dyDescent="0.45">
      <c r="A52" t="s">
        <v>50</v>
      </c>
      <c r="B52">
        <v>2814.2905270000001</v>
      </c>
      <c r="D52" t="s">
        <v>50</v>
      </c>
      <c r="E52">
        <v>2920.1010000000001</v>
      </c>
      <c r="G52">
        <f t="shared" si="0"/>
        <v>105.810473</v>
      </c>
    </row>
    <row r="53" spans="1:7" x14ac:dyDescent="0.45">
      <c r="A53" t="s">
        <v>51</v>
      </c>
      <c r="B53">
        <v>242.55978400000001</v>
      </c>
      <c r="D53" t="s">
        <v>51</v>
      </c>
      <c r="E53">
        <v>252.81</v>
      </c>
      <c r="G53">
        <f t="shared" si="0"/>
        <v>10.250215999999995</v>
      </c>
    </row>
    <row r="54" spans="1:7" x14ac:dyDescent="0.45">
      <c r="A54" t="s">
        <v>52</v>
      </c>
      <c r="B54">
        <v>5104.8413090000004</v>
      </c>
      <c r="D54" t="s">
        <v>52</v>
      </c>
      <c r="E54">
        <v>5107.0839999999998</v>
      </c>
      <c r="G54">
        <f t="shared" si="0"/>
        <v>2.2426909999994677</v>
      </c>
    </row>
    <row r="55" spans="1:7" x14ac:dyDescent="0.45">
      <c r="A55" t="s">
        <v>53</v>
      </c>
      <c r="B55">
        <v>500.34863300000001</v>
      </c>
      <c r="D55" t="s">
        <v>53</v>
      </c>
      <c r="E55">
        <v>532.18200000000002</v>
      </c>
      <c r="G55">
        <f t="shared" si="0"/>
        <v>31.83336700000001</v>
      </c>
    </row>
    <row r="56" spans="1:7" x14ac:dyDescent="0.45">
      <c r="A56" t="s">
        <v>54</v>
      </c>
      <c r="B56">
        <v>1192.6864009999999</v>
      </c>
      <c r="D56" t="s">
        <v>54</v>
      </c>
      <c r="E56">
        <v>1161.53</v>
      </c>
      <c r="G56">
        <f t="shared" si="0"/>
        <v>-31.15640099999996</v>
      </c>
    </row>
    <row r="57" spans="1:7" x14ac:dyDescent="0.45">
      <c r="A57" t="s">
        <v>55</v>
      </c>
      <c r="B57">
        <v>820.23315400000001</v>
      </c>
      <c r="D57" t="s">
        <v>55</v>
      </c>
      <c r="E57">
        <v>849.95</v>
      </c>
      <c r="G57">
        <f t="shared" si="0"/>
        <v>29.716846000000032</v>
      </c>
    </row>
    <row r="58" spans="1:7" x14ac:dyDescent="0.45">
      <c r="A58" t="s">
        <v>56</v>
      </c>
      <c r="B58">
        <v>883.625</v>
      </c>
      <c r="D58" t="s">
        <v>56</v>
      </c>
      <c r="E58">
        <v>896.97799999999995</v>
      </c>
      <c r="G58">
        <f t="shared" si="0"/>
        <v>13.352999999999952</v>
      </c>
    </row>
    <row r="59" spans="1:7" x14ac:dyDescent="0.45">
      <c r="A59" t="s">
        <v>57</v>
      </c>
      <c r="B59">
        <v>1211.864746</v>
      </c>
      <c r="D59" t="s">
        <v>57</v>
      </c>
      <c r="E59">
        <v>1247.644</v>
      </c>
      <c r="G59">
        <f t="shared" si="0"/>
        <v>35.779254000000037</v>
      </c>
    </row>
    <row r="60" spans="1:7" x14ac:dyDescent="0.45">
      <c r="A60" t="s">
        <v>58</v>
      </c>
      <c r="B60">
        <v>6828.6298829999996</v>
      </c>
      <c r="D60" t="s">
        <v>58</v>
      </c>
      <c r="E60">
        <v>6917.7240000000002</v>
      </c>
      <c r="G60">
        <f t="shared" si="0"/>
        <v>89.094117000000551</v>
      </c>
    </row>
    <row r="61" spans="1:7" x14ac:dyDescent="0.45">
      <c r="A61" t="s">
        <v>59</v>
      </c>
      <c r="B61">
        <v>361.74694799999997</v>
      </c>
      <c r="D61" t="s">
        <v>59</v>
      </c>
      <c r="E61">
        <v>384.613</v>
      </c>
      <c r="G61">
        <f t="shared" si="0"/>
        <v>22.866052000000025</v>
      </c>
    </row>
    <row r="62" spans="1:7" x14ac:dyDescent="0.45">
      <c r="A62" t="s">
        <v>60</v>
      </c>
      <c r="B62">
        <v>7024.138672</v>
      </c>
      <c r="D62" t="s">
        <v>60</v>
      </c>
      <c r="E62">
        <v>7422.6469999999999</v>
      </c>
      <c r="G62">
        <f t="shared" si="0"/>
        <v>398.50832799999989</v>
      </c>
    </row>
    <row r="63" spans="1:7" x14ac:dyDescent="0.45">
      <c r="A63" t="s">
        <v>61</v>
      </c>
      <c r="B63">
        <v>2091.818115</v>
      </c>
      <c r="D63" t="s">
        <v>61</v>
      </c>
      <c r="E63">
        <v>2129.9490000000001</v>
      </c>
      <c r="G63">
        <f t="shared" si="0"/>
        <v>38.130885000000035</v>
      </c>
    </row>
    <row r="64" spans="1:7" x14ac:dyDescent="0.45">
      <c r="A64" t="s">
        <v>62</v>
      </c>
      <c r="B64">
        <v>9163.8457030000009</v>
      </c>
      <c r="D64" t="s">
        <v>62</v>
      </c>
      <c r="E64">
        <v>9235.1610000000001</v>
      </c>
      <c r="G64">
        <f t="shared" si="0"/>
        <v>71.315296999999191</v>
      </c>
    </row>
    <row r="65" spans="1:8" x14ac:dyDescent="0.45">
      <c r="A65" t="s">
        <v>63</v>
      </c>
      <c r="B65">
        <v>19623.193359000001</v>
      </c>
      <c r="D65" t="s">
        <v>63</v>
      </c>
      <c r="E65">
        <v>19694.293000000001</v>
      </c>
      <c r="G65">
        <f t="shared" si="0"/>
        <v>71.099641000000702</v>
      </c>
    </row>
    <row r="66" spans="1:8" x14ac:dyDescent="0.45">
      <c r="A66" t="s">
        <v>64</v>
      </c>
      <c r="B66">
        <v>671.462219</v>
      </c>
      <c r="D66" t="s">
        <v>64</v>
      </c>
      <c r="E66">
        <v>694.92200000000003</v>
      </c>
      <c r="G66">
        <f t="shared" si="0"/>
        <v>23.459781000000021</v>
      </c>
    </row>
    <row r="67" spans="1:8" x14ac:dyDescent="0.45">
      <c r="A67" t="s">
        <v>65</v>
      </c>
      <c r="B67">
        <v>3164.4326169999999</v>
      </c>
      <c r="D67" t="s">
        <v>65</v>
      </c>
      <c r="E67">
        <v>3214.0729999999999</v>
      </c>
      <c r="G67">
        <f t="shared" si="0"/>
        <v>49.640382999999929</v>
      </c>
    </row>
    <row r="68" spans="1:8" x14ac:dyDescent="0.45">
      <c r="A68" t="s">
        <v>66</v>
      </c>
      <c r="B68">
        <v>332.12164300000001</v>
      </c>
      <c r="D68" t="s">
        <v>66</v>
      </c>
      <c r="E68">
        <v>344.50900000000001</v>
      </c>
      <c r="G68">
        <f t="shared" ref="G68" si="1">E68-B68</f>
        <v>12.387357000000009</v>
      </c>
    </row>
    <row r="70" spans="1:8" x14ac:dyDescent="0.45">
      <c r="B70">
        <f>SUM(B3:B68)</f>
        <v>234961.79335100003</v>
      </c>
      <c r="E70">
        <f>SUM(E3:E68)</f>
        <v>238300.60300000006</v>
      </c>
      <c r="G70">
        <f>SUM(G3:G68)</f>
        <v>3338.8096490000098</v>
      </c>
      <c r="H70" s="1">
        <f>G70/B70</f>
        <v>1.4210010918721136E-2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3FF3E-F6F1-480A-99D1-C389F81151FA}">
  <dimension ref="A1:H70"/>
  <sheetViews>
    <sheetView topLeftCell="A52" workbookViewId="0">
      <selection activeCell="H70" sqref="H70"/>
    </sheetView>
  </sheetViews>
  <sheetFormatPr defaultRowHeight="14.25" x14ac:dyDescent="0.45"/>
  <sheetData>
    <row r="1" spans="1:7" x14ac:dyDescent="0.45">
      <c r="B1" t="s">
        <v>67</v>
      </c>
      <c r="E1" t="s">
        <v>68</v>
      </c>
      <c r="G1" t="s">
        <v>69</v>
      </c>
    </row>
    <row r="2" spans="1:7" x14ac:dyDescent="0.45">
      <c r="A2" t="s">
        <v>0</v>
      </c>
      <c r="B2" t="s">
        <v>0</v>
      </c>
      <c r="D2" t="s">
        <v>0</v>
      </c>
      <c r="E2" t="s">
        <v>0</v>
      </c>
    </row>
    <row r="3" spans="1:7" x14ac:dyDescent="0.45">
      <c r="A3" t="s">
        <v>1</v>
      </c>
      <c r="B3">
        <v>1126.9846190000001</v>
      </c>
      <c r="D3" t="s">
        <v>1</v>
      </c>
      <c r="E3">
        <v>1178.203</v>
      </c>
      <c r="G3">
        <f>E3-B3</f>
        <v>51.218380999999908</v>
      </c>
    </row>
    <row r="4" spans="1:7" x14ac:dyDescent="0.45">
      <c r="A4" t="s">
        <v>2</v>
      </c>
      <c r="B4">
        <v>4342.8637699999999</v>
      </c>
      <c r="D4" t="s">
        <v>2</v>
      </c>
      <c r="E4">
        <v>4378.5069999999996</v>
      </c>
      <c r="G4">
        <f t="shared" ref="G4:G67" si="0">E4-B4</f>
        <v>35.643229999999676</v>
      </c>
    </row>
    <row r="5" spans="1:7" x14ac:dyDescent="0.45">
      <c r="A5" t="s">
        <v>3</v>
      </c>
      <c r="B5">
        <v>1109.0413820000001</v>
      </c>
      <c r="D5" t="s">
        <v>3</v>
      </c>
      <c r="E5">
        <v>1153.307</v>
      </c>
      <c r="G5">
        <f t="shared" si="0"/>
        <v>44.265617999999904</v>
      </c>
    </row>
    <row r="6" spans="1:7" x14ac:dyDescent="0.45">
      <c r="A6" t="s">
        <v>4</v>
      </c>
      <c r="B6">
        <v>562.01415999999995</v>
      </c>
      <c r="D6" t="s">
        <v>4</v>
      </c>
      <c r="E6">
        <v>594.45100000000002</v>
      </c>
      <c r="G6">
        <f t="shared" si="0"/>
        <v>32.436840000000075</v>
      </c>
    </row>
    <row r="7" spans="1:7" x14ac:dyDescent="0.45">
      <c r="A7" t="s">
        <v>5</v>
      </c>
      <c r="B7">
        <v>717.940247</v>
      </c>
      <c r="D7" t="s">
        <v>5</v>
      </c>
      <c r="E7">
        <v>754.57299999999998</v>
      </c>
      <c r="G7">
        <f t="shared" si="0"/>
        <v>36.63275299999998</v>
      </c>
    </row>
    <row r="8" spans="1:7" x14ac:dyDescent="0.45">
      <c r="A8" t="s">
        <v>6</v>
      </c>
      <c r="B8">
        <v>6987.0766599999997</v>
      </c>
      <c r="D8" t="s">
        <v>6</v>
      </c>
      <c r="E8">
        <v>7127.2839999999997</v>
      </c>
      <c r="G8">
        <f t="shared" si="0"/>
        <v>140.20733999999993</v>
      </c>
    </row>
    <row r="9" spans="1:7" x14ac:dyDescent="0.45">
      <c r="A9" t="s">
        <v>7</v>
      </c>
      <c r="B9">
        <v>3011.0107419999999</v>
      </c>
      <c r="D9" t="s">
        <v>7</v>
      </c>
      <c r="E9">
        <v>3056.0050000000001</v>
      </c>
      <c r="G9">
        <f t="shared" si="0"/>
        <v>44.994258000000173</v>
      </c>
    </row>
    <row r="10" spans="1:7" x14ac:dyDescent="0.45">
      <c r="A10" t="s">
        <v>8</v>
      </c>
      <c r="B10">
        <v>144044.984375</v>
      </c>
      <c r="D10" t="s">
        <v>8</v>
      </c>
      <c r="E10">
        <v>144999.15599999999</v>
      </c>
      <c r="G10">
        <f t="shared" si="0"/>
        <v>954.17162499998813</v>
      </c>
    </row>
    <row r="11" spans="1:7" x14ac:dyDescent="0.45">
      <c r="A11" t="s">
        <v>9</v>
      </c>
      <c r="B11">
        <v>557.71813999999995</v>
      </c>
      <c r="D11" t="s">
        <v>9</v>
      </c>
      <c r="E11">
        <v>606.49800000000005</v>
      </c>
      <c r="G11">
        <f t="shared" si="0"/>
        <v>48.779860000000099</v>
      </c>
    </row>
    <row r="12" spans="1:7" x14ac:dyDescent="0.45">
      <c r="A12" t="s">
        <v>10</v>
      </c>
      <c r="B12">
        <v>2995.8063959999999</v>
      </c>
      <c r="D12" t="s">
        <v>10</v>
      </c>
      <c r="E12">
        <v>3136.2939999999999</v>
      </c>
      <c r="G12">
        <f t="shared" si="0"/>
        <v>140.48760399999992</v>
      </c>
    </row>
    <row r="13" spans="1:7" x14ac:dyDescent="0.45">
      <c r="A13" t="s">
        <v>11</v>
      </c>
      <c r="B13">
        <v>1301.0756839999999</v>
      </c>
      <c r="D13" t="s">
        <v>11</v>
      </c>
      <c r="E13">
        <v>1370.5730000000001</v>
      </c>
      <c r="G13">
        <f t="shared" si="0"/>
        <v>69.497316000000183</v>
      </c>
    </row>
    <row r="14" spans="1:7" x14ac:dyDescent="0.45">
      <c r="A14" t="s">
        <v>12</v>
      </c>
      <c r="B14">
        <v>1169.05188</v>
      </c>
      <c r="D14" t="s">
        <v>12</v>
      </c>
      <c r="E14">
        <v>1218.057</v>
      </c>
      <c r="G14">
        <f t="shared" si="0"/>
        <v>49.005120000000034</v>
      </c>
    </row>
    <row r="15" spans="1:7" x14ac:dyDescent="0.45">
      <c r="A15" t="s">
        <v>13</v>
      </c>
      <c r="B15">
        <v>2374.9858399999998</v>
      </c>
      <c r="D15" t="s">
        <v>13</v>
      </c>
      <c r="E15">
        <v>2409.6619999999998</v>
      </c>
      <c r="G15">
        <f t="shared" si="0"/>
        <v>34.676159999999982</v>
      </c>
    </row>
    <row r="16" spans="1:7" x14ac:dyDescent="0.45">
      <c r="A16" t="s">
        <v>14</v>
      </c>
      <c r="B16">
        <v>3432.7448730000001</v>
      </c>
      <c r="D16" t="s">
        <v>14</v>
      </c>
      <c r="E16">
        <v>3493.66</v>
      </c>
      <c r="G16">
        <f t="shared" si="0"/>
        <v>60.915126999999757</v>
      </c>
    </row>
    <row r="17" spans="1:7" x14ac:dyDescent="0.45">
      <c r="A17" t="s">
        <v>15</v>
      </c>
      <c r="B17">
        <v>1004.51825</v>
      </c>
      <c r="D17" t="s">
        <v>15</v>
      </c>
      <c r="E17">
        <v>1014.966</v>
      </c>
      <c r="G17">
        <f t="shared" si="0"/>
        <v>10.447750000000042</v>
      </c>
    </row>
    <row r="18" spans="1:7" x14ac:dyDescent="0.45">
      <c r="A18" t="s">
        <v>16</v>
      </c>
      <c r="B18">
        <v>6506.6743159999996</v>
      </c>
      <c r="D18" t="s">
        <v>16</v>
      </c>
      <c r="E18">
        <v>6597.1530000000002</v>
      </c>
      <c r="G18">
        <f t="shared" si="0"/>
        <v>90.478684000000612</v>
      </c>
    </row>
    <row r="19" spans="1:7" x14ac:dyDescent="0.45">
      <c r="A19" t="s">
        <v>17</v>
      </c>
      <c r="B19">
        <v>1881.2524410000001</v>
      </c>
      <c r="D19" t="s">
        <v>17</v>
      </c>
      <c r="E19">
        <v>2024.431</v>
      </c>
      <c r="G19">
        <f t="shared" si="0"/>
        <v>143.17855899999995</v>
      </c>
    </row>
    <row r="20" spans="1:7" x14ac:dyDescent="0.45">
      <c r="A20" t="s">
        <v>18</v>
      </c>
      <c r="B20">
        <v>904.35272199999997</v>
      </c>
      <c r="D20" t="s">
        <v>18</v>
      </c>
      <c r="E20">
        <v>927.25599999999997</v>
      </c>
      <c r="G20">
        <f t="shared" si="0"/>
        <v>22.903278</v>
      </c>
    </row>
    <row r="21" spans="1:7" x14ac:dyDescent="0.45">
      <c r="A21" t="s">
        <v>19</v>
      </c>
      <c r="B21">
        <v>10186.540039</v>
      </c>
      <c r="D21" t="s">
        <v>19</v>
      </c>
      <c r="E21">
        <v>10592.495999999999</v>
      </c>
      <c r="G21">
        <f t="shared" si="0"/>
        <v>405.95596099999966</v>
      </c>
    </row>
    <row r="22" spans="1:7" x14ac:dyDescent="0.45">
      <c r="A22" t="s">
        <v>20</v>
      </c>
      <c r="B22">
        <v>2745.2448730000001</v>
      </c>
      <c r="D22" t="s">
        <v>20</v>
      </c>
      <c r="E22">
        <v>2923.7339999999999</v>
      </c>
      <c r="G22">
        <f t="shared" si="0"/>
        <v>178.48912699999983</v>
      </c>
    </row>
    <row r="23" spans="1:7" x14ac:dyDescent="0.45">
      <c r="A23" t="s">
        <v>21</v>
      </c>
      <c r="B23">
        <v>4279.482422</v>
      </c>
      <c r="D23" t="s">
        <v>21</v>
      </c>
      <c r="E23">
        <v>4433.2169999999996</v>
      </c>
      <c r="G23">
        <f t="shared" si="0"/>
        <v>153.7345779999996</v>
      </c>
    </row>
    <row r="24" spans="1:7" x14ac:dyDescent="0.45">
      <c r="A24" t="s">
        <v>22</v>
      </c>
      <c r="B24">
        <v>6567.1972660000001</v>
      </c>
      <c r="D24" t="s">
        <v>22</v>
      </c>
      <c r="E24">
        <v>6674.5519999999997</v>
      </c>
      <c r="G24">
        <f t="shared" si="0"/>
        <v>107.35473399999955</v>
      </c>
    </row>
    <row r="25" spans="1:7" x14ac:dyDescent="0.45">
      <c r="A25" t="s">
        <v>23</v>
      </c>
      <c r="B25">
        <v>109.021973</v>
      </c>
      <c r="D25" t="s">
        <v>23</v>
      </c>
      <c r="E25">
        <v>113.264</v>
      </c>
      <c r="G25">
        <f t="shared" si="0"/>
        <v>4.2420269999999931</v>
      </c>
    </row>
    <row r="26" spans="1:7" x14ac:dyDescent="0.45">
      <c r="A26" t="s">
        <v>24</v>
      </c>
      <c r="B26">
        <v>1121.910034</v>
      </c>
      <c r="D26" t="s">
        <v>24</v>
      </c>
      <c r="E26">
        <v>1149.1099999999999</v>
      </c>
      <c r="G26">
        <f t="shared" si="0"/>
        <v>27.199965999999904</v>
      </c>
    </row>
    <row r="27" spans="1:7" x14ac:dyDescent="0.45">
      <c r="A27" t="s">
        <v>25</v>
      </c>
      <c r="B27">
        <v>12159.875977</v>
      </c>
      <c r="D27" t="s">
        <v>25</v>
      </c>
      <c r="E27">
        <v>12460.182000000001</v>
      </c>
      <c r="G27">
        <f t="shared" si="0"/>
        <v>300.30602300000101</v>
      </c>
    </row>
    <row r="28" spans="1:7" x14ac:dyDescent="0.45">
      <c r="A28" t="s">
        <v>26</v>
      </c>
      <c r="B28">
        <v>9195.9824219999991</v>
      </c>
      <c r="D28" t="s">
        <v>26</v>
      </c>
      <c r="E28">
        <v>9451.7240000000002</v>
      </c>
      <c r="G28">
        <f t="shared" si="0"/>
        <v>255.74157800000103</v>
      </c>
    </row>
    <row r="29" spans="1:7" x14ac:dyDescent="0.45">
      <c r="A29" t="s">
        <v>27</v>
      </c>
      <c r="B29">
        <v>1370.7413329999999</v>
      </c>
      <c r="D29" t="s">
        <v>27</v>
      </c>
      <c r="E29">
        <v>1421.596</v>
      </c>
      <c r="G29">
        <f t="shared" si="0"/>
        <v>50.854667000000063</v>
      </c>
    </row>
    <row r="30" spans="1:7" x14ac:dyDescent="0.45">
      <c r="A30" t="s">
        <v>28</v>
      </c>
      <c r="B30">
        <v>3221.5200199999999</v>
      </c>
      <c r="D30" t="s">
        <v>28</v>
      </c>
      <c r="E30">
        <v>3256.0880000000002</v>
      </c>
      <c r="G30">
        <f t="shared" si="0"/>
        <v>34.567980000000261</v>
      </c>
    </row>
    <row r="31" spans="1:7" x14ac:dyDescent="0.45">
      <c r="A31" t="s">
        <v>29</v>
      </c>
      <c r="B31">
        <v>2979.0209960000002</v>
      </c>
      <c r="D31" t="s">
        <v>29</v>
      </c>
      <c r="E31">
        <v>3048.221</v>
      </c>
      <c r="G31">
        <f t="shared" si="0"/>
        <v>69.200003999999808</v>
      </c>
    </row>
    <row r="32" spans="1:7" x14ac:dyDescent="0.45">
      <c r="A32" t="s">
        <v>30</v>
      </c>
      <c r="B32">
        <v>1866.388672</v>
      </c>
      <c r="D32" t="s">
        <v>30</v>
      </c>
      <c r="E32">
        <v>1913.509</v>
      </c>
      <c r="G32">
        <f t="shared" si="0"/>
        <v>47.120327999999972</v>
      </c>
    </row>
    <row r="33" spans="1:7" x14ac:dyDescent="0.45">
      <c r="A33" t="s">
        <v>31</v>
      </c>
      <c r="B33">
        <v>2110.1135250000002</v>
      </c>
      <c r="D33" t="s">
        <v>31</v>
      </c>
      <c r="E33">
        <v>2139.163</v>
      </c>
      <c r="G33">
        <f t="shared" si="0"/>
        <v>29.049474999999802</v>
      </c>
    </row>
    <row r="34" spans="1:7" x14ac:dyDescent="0.45">
      <c r="A34" t="s">
        <v>32</v>
      </c>
      <c r="B34">
        <v>16464.966797000001</v>
      </c>
      <c r="D34" t="s">
        <v>32</v>
      </c>
      <c r="E34">
        <v>16459.721000000001</v>
      </c>
      <c r="G34">
        <f t="shared" si="0"/>
        <v>-5.2457969999995839</v>
      </c>
    </row>
    <row r="35" spans="1:7" x14ac:dyDescent="0.45">
      <c r="A35" t="s">
        <v>33</v>
      </c>
      <c r="B35">
        <v>2852.2622070000002</v>
      </c>
      <c r="D35" t="s">
        <v>33</v>
      </c>
      <c r="E35">
        <v>2954.1779999999999</v>
      </c>
      <c r="G35">
        <f t="shared" si="0"/>
        <v>101.91579299999967</v>
      </c>
    </row>
    <row r="36" spans="1:7" x14ac:dyDescent="0.45">
      <c r="A36" t="s">
        <v>34</v>
      </c>
      <c r="B36">
        <v>3574.188721</v>
      </c>
      <c r="D36" t="s">
        <v>34</v>
      </c>
      <c r="E36">
        <v>3640.4929999999999</v>
      </c>
      <c r="G36">
        <f t="shared" si="0"/>
        <v>66.304278999999951</v>
      </c>
    </row>
    <row r="37" spans="1:7" x14ac:dyDescent="0.45">
      <c r="A37" t="s">
        <v>35</v>
      </c>
      <c r="B37">
        <v>494.45773300000002</v>
      </c>
      <c r="D37" t="s">
        <v>35</v>
      </c>
      <c r="E37">
        <v>503.26600000000002</v>
      </c>
      <c r="G37">
        <f t="shared" si="0"/>
        <v>8.8082670000000007</v>
      </c>
    </row>
    <row r="38" spans="1:7" x14ac:dyDescent="0.45">
      <c r="A38" t="s">
        <v>36</v>
      </c>
      <c r="B38">
        <v>8528.3310550000006</v>
      </c>
      <c r="D38" t="s">
        <v>36</v>
      </c>
      <c r="E38">
        <v>9124.7810000000009</v>
      </c>
      <c r="G38">
        <f t="shared" si="0"/>
        <v>596.4499450000003</v>
      </c>
    </row>
    <row r="39" spans="1:7" x14ac:dyDescent="0.45">
      <c r="A39" t="s">
        <v>37</v>
      </c>
      <c r="B39">
        <v>3644.6835940000001</v>
      </c>
      <c r="D39" t="s">
        <v>37</v>
      </c>
      <c r="E39">
        <v>3741.2179999999998</v>
      </c>
      <c r="G39">
        <f t="shared" si="0"/>
        <v>96.534405999999763</v>
      </c>
    </row>
    <row r="40" spans="1:7" x14ac:dyDescent="0.45">
      <c r="A40" t="s">
        <v>38</v>
      </c>
      <c r="B40">
        <v>1518.3839109999999</v>
      </c>
      <c r="D40" t="s">
        <v>38</v>
      </c>
      <c r="E40">
        <v>1520.557</v>
      </c>
      <c r="G40">
        <f t="shared" si="0"/>
        <v>2.1730890000001182</v>
      </c>
    </row>
    <row r="41" spans="1:7" x14ac:dyDescent="0.45">
      <c r="A41" t="s">
        <v>39</v>
      </c>
      <c r="B41">
        <v>1598.3682859999999</v>
      </c>
      <c r="D41" t="s">
        <v>39</v>
      </c>
      <c r="E41">
        <v>1628.835</v>
      </c>
      <c r="G41">
        <f t="shared" si="0"/>
        <v>30.466714000000138</v>
      </c>
    </row>
    <row r="42" spans="1:7" x14ac:dyDescent="0.45">
      <c r="A42" t="s">
        <v>40</v>
      </c>
      <c r="B42">
        <v>7218.2148440000001</v>
      </c>
      <c r="D42" t="s">
        <v>40</v>
      </c>
      <c r="E42">
        <v>7331.0889999999999</v>
      </c>
      <c r="G42">
        <f t="shared" si="0"/>
        <v>112.87415599999986</v>
      </c>
    </row>
    <row r="43" spans="1:7" x14ac:dyDescent="0.45">
      <c r="A43" t="s">
        <v>41</v>
      </c>
      <c r="B43">
        <v>2830.8127439999998</v>
      </c>
      <c r="D43" t="s">
        <v>41</v>
      </c>
      <c r="E43">
        <v>2881.7620000000002</v>
      </c>
      <c r="G43">
        <f t="shared" si="0"/>
        <v>50.949256000000332</v>
      </c>
    </row>
    <row r="44" spans="1:7" x14ac:dyDescent="0.45">
      <c r="A44" t="s">
        <v>42</v>
      </c>
      <c r="B44">
        <v>4148.6479490000002</v>
      </c>
      <c r="D44" t="s">
        <v>42</v>
      </c>
      <c r="E44">
        <v>4574.41</v>
      </c>
      <c r="G44">
        <f t="shared" si="0"/>
        <v>425.7620509999997</v>
      </c>
    </row>
    <row r="45" spans="1:7" x14ac:dyDescent="0.45">
      <c r="A45" t="s">
        <v>43</v>
      </c>
      <c r="B45">
        <v>3823.1103520000001</v>
      </c>
      <c r="D45" t="s">
        <v>43</v>
      </c>
      <c r="E45">
        <v>3928.2939999999999</v>
      </c>
      <c r="G45">
        <f t="shared" si="0"/>
        <v>105.18364799999972</v>
      </c>
    </row>
    <row r="46" spans="1:7" x14ac:dyDescent="0.45">
      <c r="A46" t="s">
        <v>44</v>
      </c>
      <c r="B46">
        <v>5356.0502930000002</v>
      </c>
      <c r="D46" t="s">
        <v>44</v>
      </c>
      <c r="E46">
        <v>5551.884</v>
      </c>
      <c r="G46">
        <f t="shared" si="0"/>
        <v>195.83370699999978</v>
      </c>
    </row>
    <row r="47" spans="1:7" x14ac:dyDescent="0.45">
      <c r="A47" t="s">
        <v>45</v>
      </c>
      <c r="B47">
        <v>4090.4460450000001</v>
      </c>
      <c r="D47" t="s">
        <v>45</v>
      </c>
      <c r="E47">
        <v>4246.1930000000002</v>
      </c>
      <c r="G47">
        <f t="shared" si="0"/>
        <v>155.74695500000007</v>
      </c>
    </row>
    <row r="48" spans="1:7" x14ac:dyDescent="0.45">
      <c r="A48" t="s">
        <v>46</v>
      </c>
      <c r="B48">
        <v>417.52865600000001</v>
      </c>
      <c r="D48" t="s">
        <v>46</v>
      </c>
      <c r="E48">
        <v>417.995</v>
      </c>
      <c r="G48">
        <f t="shared" si="0"/>
        <v>0.46634399999999232</v>
      </c>
    </row>
    <row r="49" spans="1:7" x14ac:dyDescent="0.45">
      <c r="A49" t="s">
        <v>47</v>
      </c>
      <c r="B49">
        <v>707.10766599999999</v>
      </c>
      <c r="D49" t="s">
        <v>47</v>
      </c>
      <c r="E49">
        <v>712.96100000000001</v>
      </c>
      <c r="G49">
        <f t="shared" si="0"/>
        <v>5.853334000000018</v>
      </c>
    </row>
    <row r="50" spans="1:7" x14ac:dyDescent="0.45">
      <c r="A50" t="s">
        <v>48</v>
      </c>
      <c r="B50">
        <v>1780.4708250000001</v>
      </c>
      <c r="D50" t="s">
        <v>48</v>
      </c>
      <c r="E50">
        <v>1955.8910000000001</v>
      </c>
      <c r="G50">
        <f t="shared" si="0"/>
        <v>175.42017499999997</v>
      </c>
    </row>
    <row r="51" spans="1:7" x14ac:dyDescent="0.45">
      <c r="A51" t="s">
        <v>49</v>
      </c>
      <c r="B51">
        <v>1516.5749510000001</v>
      </c>
      <c r="D51" t="s">
        <v>49</v>
      </c>
      <c r="E51">
        <v>1681.14</v>
      </c>
      <c r="G51">
        <f t="shared" si="0"/>
        <v>164.56504900000004</v>
      </c>
    </row>
    <row r="52" spans="1:7" x14ac:dyDescent="0.45">
      <c r="A52" t="s">
        <v>50</v>
      </c>
      <c r="B52">
        <v>7878.9111329999996</v>
      </c>
      <c r="D52" t="s">
        <v>50</v>
      </c>
      <c r="E52">
        <v>8002.9750000000004</v>
      </c>
      <c r="G52">
        <f t="shared" si="0"/>
        <v>124.06386700000076</v>
      </c>
    </row>
    <row r="53" spans="1:7" x14ac:dyDescent="0.45">
      <c r="A53" t="s">
        <v>51</v>
      </c>
      <c r="B53">
        <v>1982.2650149999999</v>
      </c>
      <c r="D53" t="s">
        <v>51</v>
      </c>
      <c r="E53">
        <v>2038.183</v>
      </c>
      <c r="G53">
        <f t="shared" si="0"/>
        <v>55.917985000000044</v>
      </c>
    </row>
    <row r="54" spans="1:7" x14ac:dyDescent="0.45">
      <c r="A54" t="s">
        <v>52</v>
      </c>
      <c r="B54">
        <v>13925.152344</v>
      </c>
      <c r="D54" t="s">
        <v>52</v>
      </c>
      <c r="E54">
        <v>13861.492</v>
      </c>
      <c r="G54">
        <f t="shared" si="0"/>
        <v>-63.660343999999895</v>
      </c>
    </row>
    <row r="55" spans="1:7" x14ac:dyDescent="0.45">
      <c r="A55" t="s">
        <v>53</v>
      </c>
      <c r="B55">
        <v>1359.1694339999999</v>
      </c>
      <c r="D55" t="s">
        <v>53</v>
      </c>
      <c r="E55">
        <v>1512.7739999999999</v>
      </c>
      <c r="G55">
        <f t="shared" si="0"/>
        <v>153.60456599999998</v>
      </c>
    </row>
    <row r="56" spans="1:7" x14ac:dyDescent="0.45">
      <c r="A56" t="s">
        <v>54</v>
      </c>
      <c r="B56">
        <v>2431.673096</v>
      </c>
      <c r="D56" t="s">
        <v>54</v>
      </c>
      <c r="E56">
        <v>2490.9160000000002</v>
      </c>
      <c r="G56">
        <f t="shared" si="0"/>
        <v>59.242904000000181</v>
      </c>
    </row>
    <row r="57" spans="1:7" x14ac:dyDescent="0.45">
      <c r="A57" t="s">
        <v>55</v>
      </c>
      <c r="B57">
        <v>3239.73999</v>
      </c>
      <c r="D57" t="s">
        <v>55</v>
      </c>
      <c r="E57">
        <v>3232.7910000000002</v>
      </c>
      <c r="G57">
        <f t="shared" si="0"/>
        <v>-6.948989999999867</v>
      </c>
    </row>
    <row r="58" spans="1:7" x14ac:dyDescent="0.45">
      <c r="A58" t="s">
        <v>56</v>
      </c>
      <c r="B58">
        <v>2969.3701169999999</v>
      </c>
      <c r="D58" t="s">
        <v>56</v>
      </c>
      <c r="E58">
        <v>3041.0540000000001</v>
      </c>
      <c r="G58">
        <f t="shared" si="0"/>
        <v>71.683883000000151</v>
      </c>
    </row>
    <row r="59" spans="1:7" x14ac:dyDescent="0.45">
      <c r="A59" t="s">
        <v>57</v>
      </c>
      <c r="B59">
        <v>5391.6958009999998</v>
      </c>
      <c r="D59" t="s">
        <v>57</v>
      </c>
      <c r="E59">
        <v>5514.7470000000003</v>
      </c>
      <c r="G59">
        <f t="shared" si="0"/>
        <v>123.05119900000045</v>
      </c>
    </row>
    <row r="60" spans="1:7" x14ac:dyDescent="0.45">
      <c r="A60" t="s">
        <v>58</v>
      </c>
      <c r="B60">
        <v>8675.7421869999998</v>
      </c>
      <c r="D60" t="s">
        <v>58</v>
      </c>
      <c r="E60">
        <v>9204.0169999999998</v>
      </c>
      <c r="G60">
        <f t="shared" si="0"/>
        <v>528.27481299999999</v>
      </c>
    </row>
    <row r="61" spans="1:7" x14ac:dyDescent="0.45">
      <c r="A61" t="s">
        <v>59</v>
      </c>
      <c r="B61">
        <v>2733.7653810000002</v>
      </c>
      <c r="D61" t="s">
        <v>59</v>
      </c>
      <c r="E61">
        <v>2842.2869999999998</v>
      </c>
      <c r="G61">
        <f t="shared" si="0"/>
        <v>108.52161899999965</v>
      </c>
    </row>
    <row r="62" spans="1:7" x14ac:dyDescent="0.45">
      <c r="A62" t="s">
        <v>60</v>
      </c>
      <c r="B62">
        <v>1930.2238769999999</v>
      </c>
      <c r="D62" t="s">
        <v>60</v>
      </c>
      <c r="E62">
        <v>1988.896</v>
      </c>
      <c r="G62">
        <f t="shared" si="0"/>
        <v>58.672123000000056</v>
      </c>
    </row>
    <row r="63" spans="1:7" x14ac:dyDescent="0.45">
      <c r="A63" t="s">
        <v>61</v>
      </c>
      <c r="B63">
        <v>4099.8256840000004</v>
      </c>
      <c r="D63" t="s">
        <v>61</v>
      </c>
      <c r="E63">
        <v>4209.1949999999997</v>
      </c>
      <c r="G63">
        <f t="shared" si="0"/>
        <v>109.36931599999934</v>
      </c>
    </row>
    <row r="64" spans="1:7" x14ac:dyDescent="0.45">
      <c r="A64" t="s">
        <v>62</v>
      </c>
      <c r="B64">
        <v>12501.188477</v>
      </c>
      <c r="D64" t="s">
        <v>62</v>
      </c>
      <c r="E64">
        <v>12556.153</v>
      </c>
      <c r="G64">
        <f t="shared" si="0"/>
        <v>54.964523000000554</v>
      </c>
    </row>
    <row r="65" spans="1:8" x14ac:dyDescent="0.45">
      <c r="A65" t="s">
        <v>63</v>
      </c>
      <c r="B65">
        <v>31129.326172000001</v>
      </c>
      <c r="D65" t="s">
        <v>63</v>
      </c>
      <c r="E65">
        <v>31376.460999999999</v>
      </c>
      <c r="G65">
        <f t="shared" si="0"/>
        <v>247.13482799999838</v>
      </c>
    </row>
    <row r="66" spans="1:8" x14ac:dyDescent="0.45">
      <c r="A66" t="s">
        <v>64</v>
      </c>
      <c r="B66">
        <v>2888.1596679999998</v>
      </c>
      <c r="D66" t="s">
        <v>64</v>
      </c>
      <c r="E66">
        <v>2928.098</v>
      </c>
      <c r="G66">
        <f t="shared" si="0"/>
        <v>39.938332000000173</v>
      </c>
    </row>
    <row r="67" spans="1:8" x14ac:dyDescent="0.45">
      <c r="A67" t="s">
        <v>65</v>
      </c>
      <c r="B67">
        <v>8757.0996090000008</v>
      </c>
      <c r="D67" t="s">
        <v>65</v>
      </c>
      <c r="E67">
        <v>8973.0400000000009</v>
      </c>
      <c r="G67">
        <f t="shared" si="0"/>
        <v>215.94039100000009</v>
      </c>
    </row>
    <row r="68" spans="1:8" x14ac:dyDescent="0.45">
      <c r="A68" t="s">
        <v>66</v>
      </c>
      <c r="B68">
        <v>2517.3063959999999</v>
      </c>
      <c r="D68" t="s">
        <v>66</v>
      </c>
      <c r="E68">
        <v>2543.3580000000002</v>
      </c>
      <c r="G68">
        <f t="shared" ref="G68" si="1">E68-B68</f>
        <v>26.051604000000225</v>
      </c>
    </row>
    <row r="70" spans="1:8" x14ac:dyDescent="0.45">
      <c r="B70">
        <f>SUM(B3:B68)</f>
        <v>426918.35705899994</v>
      </c>
      <c r="E70">
        <f>SUM(E3:E68)</f>
        <v>434787.99699999992</v>
      </c>
      <c r="G70">
        <f>SUM(G3:G68)</f>
        <v>7869.6399409999922</v>
      </c>
      <c r="H70" s="1">
        <f>G70/B70</f>
        <v>1.8433594646089232E-2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187FE-E1B4-47D4-AB1D-6743156F5231}">
  <dimension ref="A1:H70"/>
  <sheetViews>
    <sheetView topLeftCell="A64" workbookViewId="0">
      <selection activeCell="H70" sqref="H70"/>
    </sheetView>
  </sheetViews>
  <sheetFormatPr defaultRowHeight="14.25" x14ac:dyDescent="0.45"/>
  <sheetData>
    <row r="1" spans="1:7" x14ac:dyDescent="0.45">
      <c r="B1" t="s">
        <v>67</v>
      </c>
      <c r="E1" t="s">
        <v>68</v>
      </c>
      <c r="G1" t="s">
        <v>69</v>
      </c>
    </row>
    <row r="2" spans="1:7" x14ac:dyDescent="0.45">
      <c r="A2" t="s">
        <v>0</v>
      </c>
      <c r="B2" t="s">
        <v>0</v>
      </c>
      <c r="D2" t="s">
        <v>0</v>
      </c>
      <c r="E2" t="s">
        <v>0</v>
      </c>
    </row>
    <row r="3" spans="1:7" x14ac:dyDescent="0.45">
      <c r="A3" t="s">
        <v>1</v>
      </c>
      <c r="B3">
        <v>235.399734</v>
      </c>
      <c r="D3" t="s">
        <v>1</v>
      </c>
      <c r="E3">
        <v>241.303</v>
      </c>
      <c r="G3">
        <f>E3-B3</f>
        <v>5.9032660000000021</v>
      </c>
    </row>
    <row r="4" spans="1:7" x14ac:dyDescent="0.45">
      <c r="A4" t="s">
        <v>2</v>
      </c>
      <c r="B4">
        <v>784.73730499999999</v>
      </c>
      <c r="D4" t="s">
        <v>2</v>
      </c>
      <c r="E4">
        <v>810.57399999999996</v>
      </c>
      <c r="G4">
        <f t="shared" ref="G4:G67" si="0">E4-B4</f>
        <v>25.836694999999963</v>
      </c>
    </row>
    <row r="5" spans="1:7" x14ac:dyDescent="0.45">
      <c r="A5" t="s">
        <v>3</v>
      </c>
      <c r="B5">
        <v>186.699005</v>
      </c>
      <c r="D5" t="s">
        <v>3</v>
      </c>
      <c r="E5">
        <v>195.101</v>
      </c>
      <c r="G5">
        <f t="shared" si="0"/>
        <v>8.4019949999999994</v>
      </c>
    </row>
    <row r="6" spans="1:7" x14ac:dyDescent="0.45">
      <c r="A6" t="s">
        <v>4</v>
      </c>
      <c r="B6">
        <v>127.522385</v>
      </c>
      <c r="D6" t="s">
        <v>4</v>
      </c>
      <c r="E6">
        <v>130.39599999999999</v>
      </c>
      <c r="G6">
        <f t="shared" si="0"/>
        <v>2.8736149999999867</v>
      </c>
    </row>
    <row r="7" spans="1:7" x14ac:dyDescent="0.45">
      <c r="A7" t="s">
        <v>5</v>
      </c>
      <c r="B7">
        <v>149.33019999999999</v>
      </c>
      <c r="D7" t="s">
        <v>5</v>
      </c>
      <c r="E7">
        <v>152.44800000000001</v>
      </c>
      <c r="G7">
        <f t="shared" si="0"/>
        <v>3.1178000000000168</v>
      </c>
    </row>
    <row r="8" spans="1:7" x14ac:dyDescent="0.45">
      <c r="A8" t="s">
        <v>6</v>
      </c>
      <c r="B8">
        <v>1104.0439449999999</v>
      </c>
      <c r="D8" t="s">
        <v>6</v>
      </c>
      <c r="E8">
        <v>1129.6300000000001</v>
      </c>
      <c r="G8">
        <f t="shared" si="0"/>
        <v>25.586055000000215</v>
      </c>
    </row>
    <row r="9" spans="1:7" x14ac:dyDescent="0.45">
      <c r="A9" t="s">
        <v>7</v>
      </c>
      <c r="B9">
        <v>594.93792699999995</v>
      </c>
      <c r="D9" t="s">
        <v>7</v>
      </c>
      <c r="E9">
        <v>611.34900000000005</v>
      </c>
      <c r="G9">
        <f t="shared" si="0"/>
        <v>16.411073000000101</v>
      </c>
    </row>
    <row r="10" spans="1:7" x14ac:dyDescent="0.45">
      <c r="A10" t="s">
        <v>8</v>
      </c>
      <c r="B10">
        <v>29011.591797000001</v>
      </c>
      <c r="D10" t="s">
        <v>8</v>
      </c>
      <c r="E10">
        <v>29650.895</v>
      </c>
      <c r="G10">
        <f t="shared" si="0"/>
        <v>639.30320299999948</v>
      </c>
    </row>
    <row r="11" spans="1:7" x14ac:dyDescent="0.45">
      <c r="A11" t="s">
        <v>9</v>
      </c>
      <c r="B11">
        <v>104.693619</v>
      </c>
      <c r="D11" t="s">
        <v>9</v>
      </c>
      <c r="E11">
        <v>109.196</v>
      </c>
      <c r="G11">
        <f t="shared" si="0"/>
        <v>4.5023809999999997</v>
      </c>
    </row>
    <row r="12" spans="1:7" x14ac:dyDescent="0.45">
      <c r="A12" t="s">
        <v>10</v>
      </c>
      <c r="B12">
        <v>601.12158199999999</v>
      </c>
      <c r="D12" t="s">
        <v>10</v>
      </c>
      <c r="E12">
        <v>627.78700000000003</v>
      </c>
      <c r="G12">
        <f t="shared" si="0"/>
        <v>26.665418000000045</v>
      </c>
    </row>
    <row r="13" spans="1:7" x14ac:dyDescent="0.45">
      <c r="A13" t="s">
        <v>11</v>
      </c>
      <c r="B13">
        <v>270.52117900000002</v>
      </c>
      <c r="D13" t="s">
        <v>11</v>
      </c>
      <c r="E13">
        <v>279.60500000000002</v>
      </c>
      <c r="G13">
        <f t="shared" si="0"/>
        <v>9.0838210000000004</v>
      </c>
    </row>
    <row r="14" spans="1:7" x14ac:dyDescent="0.45">
      <c r="A14" t="s">
        <v>12</v>
      </c>
      <c r="B14">
        <v>231.22901899999999</v>
      </c>
      <c r="D14" t="s">
        <v>12</v>
      </c>
      <c r="E14">
        <v>241.51599999999999</v>
      </c>
      <c r="G14">
        <f t="shared" si="0"/>
        <v>10.286980999999997</v>
      </c>
    </row>
    <row r="15" spans="1:7" x14ac:dyDescent="0.45">
      <c r="A15" t="s">
        <v>13</v>
      </c>
      <c r="B15">
        <v>440.56423999999998</v>
      </c>
      <c r="D15" t="s">
        <v>13</v>
      </c>
      <c r="E15">
        <v>460.28699999999998</v>
      </c>
      <c r="G15">
        <f t="shared" si="0"/>
        <v>19.722759999999994</v>
      </c>
    </row>
    <row r="16" spans="1:7" x14ac:dyDescent="0.45">
      <c r="A16" t="s">
        <v>14</v>
      </c>
      <c r="B16">
        <v>649.94030799999996</v>
      </c>
      <c r="D16" t="s">
        <v>14</v>
      </c>
      <c r="E16">
        <v>666.44</v>
      </c>
      <c r="G16">
        <f t="shared" si="0"/>
        <v>16.499692000000096</v>
      </c>
    </row>
    <row r="17" spans="1:7" x14ac:dyDescent="0.45">
      <c r="A17" t="s">
        <v>15</v>
      </c>
      <c r="B17">
        <v>148.23455799999999</v>
      </c>
      <c r="D17" t="s">
        <v>15</v>
      </c>
      <c r="E17">
        <v>151.41900000000001</v>
      </c>
      <c r="G17">
        <f t="shared" si="0"/>
        <v>3.1844420000000184</v>
      </c>
    </row>
    <row r="18" spans="1:7" x14ac:dyDescent="0.45">
      <c r="A18" t="s">
        <v>16</v>
      </c>
      <c r="B18">
        <v>968.01568599999996</v>
      </c>
      <c r="D18" t="s">
        <v>16</v>
      </c>
      <c r="E18">
        <v>998.93</v>
      </c>
      <c r="G18">
        <f t="shared" si="0"/>
        <v>30.91431399999999</v>
      </c>
    </row>
    <row r="19" spans="1:7" x14ac:dyDescent="0.45">
      <c r="A19" t="s">
        <v>17</v>
      </c>
      <c r="B19">
        <v>337.87591600000002</v>
      </c>
      <c r="D19" t="s">
        <v>17</v>
      </c>
      <c r="E19">
        <v>356.95800000000003</v>
      </c>
      <c r="G19">
        <f t="shared" si="0"/>
        <v>19.082084000000009</v>
      </c>
    </row>
    <row r="20" spans="1:7" x14ac:dyDescent="0.45">
      <c r="A20" t="s">
        <v>18</v>
      </c>
      <c r="B20">
        <v>162.74490399999999</v>
      </c>
      <c r="D20" t="s">
        <v>18</v>
      </c>
      <c r="E20">
        <v>168.077</v>
      </c>
      <c r="G20">
        <f t="shared" si="0"/>
        <v>5.3320960000000071</v>
      </c>
    </row>
    <row r="21" spans="1:7" x14ac:dyDescent="0.45">
      <c r="A21" t="s">
        <v>19</v>
      </c>
      <c r="B21">
        <v>1838.5548100000001</v>
      </c>
      <c r="D21" t="s">
        <v>19</v>
      </c>
      <c r="E21">
        <v>1946.9760000000001</v>
      </c>
      <c r="G21">
        <f t="shared" si="0"/>
        <v>108.42119000000002</v>
      </c>
    </row>
    <row r="22" spans="1:7" x14ac:dyDescent="0.45">
      <c r="A22" t="s">
        <v>20</v>
      </c>
      <c r="B22">
        <v>500.59973100000002</v>
      </c>
      <c r="D22" t="s">
        <v>20</v>
      </c>
      <c r="E22">
        <v>522.41999999999996</v>
      </c>
      <c r="G22">
        <f t="shared" si="0"/>
        <v>21.820268999999939</v>
      </c>
    </row>
    <row r="23" spans="1:7" x14ac:dyDescent="0.45">
      <c r="A23" t="s">
        <v>21</v>
      </c>
      <c r="B23">
        <v>643.96984899999995</v>
      </c>
      <c r="D23" t="s">
        <v>21</v>
      </c>
      <c r="E23">
        <v>668.91</v>
      </c>
      <c r="G23">
        <f t="shared" si="0"/>
        <v>24.940151000000014</v>
      </c>
    </row>
    <row r="24" spans="1:7" x14ac:dyDescent="0.45">
      <c r="A24" t="s">
        <v>22</v>
      </c>
      <c r="B24">
        <v>1220.12915</v>
      </c>
      <c r="D24" t="s">
        <v>22</v>
      </c>
      <c r="E24">
        <v>1279.7260000000001</v>
      </c>
      <c r="G24">
        <f t="shared" si="0"/>
        <v>59.596850000000131</v>
      </c>
    </row>
    <row r="25" spans="1:7" x14ac:dyDescent="0.45">
      <c r="A25" t="s">
        <v>23</v>
      </c>
      <c r="B25">
        <v>26.959887999999999</v>
      </c>
      <c r="D25" t="s">
        <v>23</v>
      </c>
      <c r="E25">
        <v>27.603999999999999</v>
      </c>
      <c r="G25">
        <f t="shared" si="0"/>
        <v>0.6441119999999998</v>
      </c>
    </row>
    <row r="26" spans="1:7" x14ac:dyDescent="0.45">
      <c r="A26" t="s">
        <v>24</v>
      </c>
      <c r="B26">
        <v>213.532928</v>
      </c>
      <c r="D26" t="s">
        <v>24</v>
      </c>
      <c r="E26">
        <v>219.88800000000001</v>
      </c>
      <c r="G26">
        <f t="shared" si="0"/>
        <v>6.3550720000000069</v>
      </c>
    </row>
    <row r="27" spans="1:7" x14ac:dyDescent="0.45">
      <c r="A27" t="s">
        <v>25</v>
      </c>
      <c r="B27">
        <v>2015.0601810000001</v>
      </c>
      <c r="D27" t="s">
        <v>25</v>
      </c>
      <c r="E27">
        <v>2093.1959999999999</v>
      </c>
      <c r="G27">
        <f t="shared" si="0"/>
        <v>78.135818999999856</v>
      </c>
    </row>
    <row r="28" spans="1:7" x14ac:dyDescent="0.45">
      <c r="A28" t="s">
        <v>26</v>
      </c>
      <c r="B28">
        <v>1365.125</v>
      </c>
      <c r="D28" t="s">
        <v>26</v>
      </c>
      <c r="E28">
        <v>1408.2660000000001</v>
      </c>
      <c r="G28">
        <f t="shared" si="0"/>
        <v>43.141000000000076</v>
      </c>
    </row>
    <row r="29" spans="1:7" x14ac:dyDescent="0.45">
      <c r="A29" t="s">
        <v>27</v>
      </c>
      <c r="B29">
        <v>193.801514</v>
      </c>
      <c r="D29" t="s">
        <v>27</v>
      </c>
      <c r="E29">
        <v>199.82499999999999</v>
      </c>
      <c r="G29">
        <f t="shared" si="0"/>
        <v>6.0234859999999912</v>
      </c>
    </row>
    <row r="30" spans="1:7" x14ac:dyDescent="0.45">
      <c r="A30" t="s">
        <v>28</v>
      </c>
      <c r="B30">
        <v>567.135132</v>
      </c>
      <c r="D30" t="s">
        <v>28</v>
      </c>
      <c r="E30">
        <v>575.03899999999999</v>
      </c>
      <c r="G30">
        <f t="shared" si="0"/>
        <v>7.9038679999999886</v>
      </c>
    </row>
    <row r="31" spans="1:7" x14ac:dyDescent="0.45">
      <c r="A31" t="s">
        <v>29</v>
      </c>
      <c r="B31">
        <v>584.91619900000001</v>
      </c>
      <c r="D31" t="s">
        <v>29</v>
      </c>
      <c r="E31">
        <v>601.5</v>
      </c>
      <c r="G31">
        <f t="shared" si="0"/>
        <v>16.583800999999994</v>
      </c>
    </row>
    <row r="32" spans="1:7" x14ac:dyDescent="0.45">
      <c r="A32" t="s">
        <v>30</v>
      </c>
      <c r="B32">
        <v>350.487976</v>
      </c>
      <c r="D32" t="s">
        <v>30</v>
      </c>
      <c r="E32">
        <v>372.17700000000002</v>
      </c>
      <c r="G32">
        <f t="shared" si="0"/>
        <v>21.689024000000018</v>
      </c>
    </row>
    <row r="33" spans="1:7" x14ac:dyDescent="0.45">
      <c r="A33" t="s">
        <v>31</v>
      </c>
      <c r="B33">
        <v>272.751801</v>
      </c>
      <c r="D33" t="s">
        <v>31</v>
      </c>
      <c r="E33">
        <v>283.44299999999998</v>
      </c>
      <c r="G33">
        <f t="shared" si="0"/>
        <v>10.691198999999983</v>
      </c>
    </row>
    <row r="34" spans="1:7" x14ac:dyDescent="0.45">
      <c r="A34" t="s">
        <v>32</v>
      </c>
      <c r="B34">
        <v>3068.2617190000001</v>
      </c>
      <c r="D34" t="s">
        <v>32</v>
      </c>
      <c r="E34">
        <v>3163.16</v>
      </c>
      <c r="G34">
        <f t="shared" si="0"/>
        <v>94.89828099999977</v>
      </c>
    </row>
    <row r="35" spans="1:7" x14ac:dyDescent="0.45">
      <c r="A35" t="s">
        <v>33</v>
      </c>
      <c r="B35">
        <v>497.51260400000001</v>
      </c>
      <c r="D35" t="s">
        <v>33</v>
      </c>
      <c r="E35">
        <v>510.80900000000003</v>
      </c>
      <c r="G35">
        <f t="shared" si="0"/>
        <v>13.296396000000016</v>
      </c>
    </row>
    <row r="36" spans="1:7" x14ac:dyDescent="0.45">
      <c r="A36" t="s">
        <v>34</v>
      </c>
      <c r="B36">
        <v>692.45074499999998</v>
      </c>
      <c r="D36" t="s">
        <v>34</v>
      </c>
      <c r="E36">
        <v>719.02</v>
      </c>
      <c r="G36">
        <f t="shared" si="0"/>
        <v>26.569254999999998</v>
      </c>
    </row>
    <row r="37" spans="1:7" x14ac:dyDescent="0.45">
      <c r="A37" t="s">
        <v>35</v>
      </c>
      <c r="B37">
        <v>95.401138000000003</v>
      </c>
      <c r="D37" t="s">
        <v>35</v>
      </c>
      <c r="E37">
        <v>98.328000000000003</v>
      </c>
      <c r="G37">
        <f t="shared" si="0"/>
        <v>2.9268619999999999</v>
      </c>
    </row>
    <row r="38" spans="1:7" x14ac:dyDescent="0.45">
      <c r="A38" t="s">
        <v>36</v>
      </c>
      <c r="B38">
        <v>1655.4698490000001</v>
      </c>
      <c r="D38" t="s">
        <v>36</v>
      </c>
      <c r="E38">
        <v>1714.6669999999999</v>
      </c>
      <c r="G38">
        <f t="shared" si="0"/>
        <v>59.197150999999849</v>
      </c>
    </row>
    <row r="39" spans="1:7" x14ac:dyDescent="0.45">
      <c r="A39" t="s">
        <v>37</v>
      </c>
      <c r="B39">
        <v>695.55432099999996</v>
      </c>
      <c r="D39" t="s">
        <v>37</v>
      </c>
      <c r="E39">
        <v>711.53399999999999</v>
      </c>
      <c r="G39">
        <f t="shared" si="0"/>
        <v>15.979679000000033</v>
      </c>
    </row>
    <row r="40" spans="1:7" x14ac:dyDescent="0.45">
      <c r="A40" t="s">
        <v>38</v>
      </c>
      <c r="B40">
        <v>200.18485999999999</v>
      </c>
      <c r="D40" t="s">
        <v>38</v>
      </c>
      <c r="E40">
        <v>202.30600000000001</v>
      </c>
      <c r="G40">
        <f t="shared" si="0"/>
        <v>2.1211400000000253</v>
      </c>
    </row>
    <row r="41" spans="1:7" x14ac:dyDescent="0.45">
      <c r="A41" t="s">
        <v>39</v>
      </c>
      <c r="B41">
        <v>310.91980000000001</v>
      </c>
      <c r="D41" t="s">
        <v>39</v>
      </c>
      <c r="E41">
        <v>321.86700000000002</v>
      </c>
      <c r="G41">
        <f t="shared" si="0"/>
        <v>10.947200000000009</v>
      </c>
    </row>
    <row r="42" spans="1:7" x14ac:dyDescent="0.45">
      <c r="A42" t="s">
        <v>40</v>
      </c>
      <c r="B42">
        <v>1025.0900879999999</v>
      </c>
      <c r="D42" t="s">
        <v>40</v>
      </c>
      <c r="E42">
        <v>1048.3900000000001</v>
      </c>
      <c r="G42">
        <f t="shared" si="0"/>
        <v>23.299912000000177</v>
      </c>
    </row>
    <row r="43" spans="1:7" x14ac:dyDescent="0.45">
      <c r="A43" t="s">
        <v>41</v>
      </c>
      <c r="B43">
        <v>460.36599699999999</v>
      </c>
      <c r="D43" t="s">
        <v>41</v>
      </c>
      <c r="E43">
        <v>477.411</v>
      </c>
      <c r="G43">
        <f t="shared" si="0"/>
        <v>17.045003000000008</v>
      </c>
    </row>
    <row r="44" spans="1:7" x14ac:dyDescent="0.45">
      <c r="A44" t="s">
        <v>42</v>
      </c>
      <c r="B44">
        <v>703.68310499999995</v>
      </c>
      <c r="D44" t="s">
        <v>42</v>
      </c>
      <c r="E44">
        <v>726.89599999999996</v>
      </c>
      <c r="G44">
        <f t="shared" si="0"/>
        <v>23.212895000000003</v>
      </c>
    </row>
    <row r="45" spans="1:7" x14ac:dyDescent="0.45">
      <c r="A45" t="s">
        <v>43</v>
      </c>
      <c r="B45">
        <v>697.63073699999995</v>
      </c>
      <c r="D45" t="s">
        <v>43</v>
      </c>
      <c r="E45">
        <v>718.83600000000001</v>
      </c>
      <c r="G45">
        <f t="shared" si="0"/>
        <v>21.205263000000059</v>
      </c>
    </row>
    <row r="46" spans="1:7" x14ac:dyDescent="0.45">
      <c r="A46" t="s">
        <v>44</v>
      </c>
      <c r="B46">
        <v>1021.102661</v>
      </c>
      <c r="D46" t="s">
        <v>44</v>
      </c>
      <c r="E46">
        <v>1060.9110000000001</v>
      </c>
      <c r="G46">
        <f t="shared" si="0"/>
        <v>39.808339000000046</v>
      </c>
    </row>
    <row r="47" spans="1:7" x14ac:dyDescent="0.45">
      <c r="A47" t="s">
        <v>45</v>
      </c>
      <c r="B47">
        <v>773.36248799999998</v>
      </c>
      <c r="D47" t="s">
        <v>45</v>
      </c>
      <c r="E47">
        <v>804.88199999999995</v>
      </c>
      <c r="G47">
        <f t="shared" si="0"/>
        <v>31.519511999999963</v>
      </c>
    </row>
    <row r="48" spans="1:7" x14ac:dyDescent="0.45">
      <c r="A48" t="s">
        <v>46</v>
      </c>
      <c r="B48">
        <v>69.455878999999996</v>
      </c>
      <c r="D48" t="s">
        <v>46</v>
      </c>
      <c r="E48">
        <v>71.204999999999998</v>
      </c>
      <c r="G48">
        <f t="shared" si="0"/>
        <v>1.7491210000000024</v>
      </c>
    </row>
    <row r="49" spans="1:7" x14ac:dyDescent="0.45">
      <c r="A49" t="s">
        <v>47</v>
      </c>
      <c r="B49">
        <v>129.63256799999999</v>
      </c>
      <c r="D49" t="s">
        <v>47</v>
      </c>
      <c r="E49">
        <v>130.215</v>
      </c>
      <c r="G49">
        <f t="shared" si="0"/>
        <v>0.58243200000001139</v>
      </c>
    </row>
    <row r="50" spans="1:7" x14ac:dyDescent="0.45">
      <c r="A50" t="s">
        <v>48</v>
      </c>
      <c r="B50">
        <v>330.711365</v>
      </c>
      <c r="D50" t="s">
        <v>48</v>
      </c>
      <c r="E50">
        <v>350.11</v>
      </c>
      <c r="G50">
        <f t="shared" si="0"/>
        <v>19.398635000000013</v>
      </c>
    </row>
    <row r="51" spans="1:7" x14ac:dyDescent="0.45">
      <c r="A51" t="s">
        <v>49</v>
      </c>
      <c r="B51">
        <v>270.530731</v>
      </c>
      <c r="D51" t="s">
        <v>49</v>
      </c>
      <c r="E51">
        <v>279.75</v>
      </c>
      <c r="G51">
        <f t="shared" si="0"/>
        <v>9.219268999999997</v>
      </c>
    </row>
    <row r="52" spans="1:7" x14ac:dyDescent="0.45">
      <c r="A52" t="s">
        <v>50</v>
      </c>
      <c r="B52">
        <v>1580.1577150000001</v>
      </c>
      <c r="D52" t="s">
        <v>50</v>
      </c>
      <c r="E52">
        <v>1623.191</v>
      </c>
      <c r="G52">
        <f t="shared" si="0"/>
        <v>43.033284999999978</v>
      </c>
    </row>
    <row r="53" spans="1:7" x14ac:dyDescent="0.45">
      <c r="A53" t="s">
        <v>51</v>
      </c>
      <c r="B53">
        <v>405.28738399999997</v>
      </c>
      <c r="D53" t="s">
        <v>51</v>
      </c>
      <c r="E53">
        <v>415.75599999999997</v>
      </c>
      <c r="G53">
        <f t="shared" si="0"/>
        <v>10.468615999999997</v>
      </c>
    </row>
    <row r="54" spans="1:7" x14ac:dyDescent="0.45">
      <c r="A54" t="s">
        <v>52</v>
      </c>
      <c r="B54">
        <v>2437.1777339999999</v>
      </c>
      <c r="D54" t="s">
        <v>52</v>
      </c>
      <c r="E54">
        <v>2475.0479999999998</v>
      </c>
      <c r="G54">
        <f t="shared" si="0"/>
        <v>37.870265999999901</v>
      </c>
    </row>
    <row r="55" spans="1:7" x14ac:dyDescent="0.45">
      <c r="A55" t="s">
        <v>53</v>
      </c>
      <c r="B55">
        <v>264.42120399999999</v>
      </c>
      <c r="D55" t="s">
        <v>53</v>
      </c>
      <c r="E55">
        <v>283.952</v>
      </c>
      <c r="G55">
        <f t="shared" si="0"/>
        <v>19.530796000000009</v>
      </c>
    </row>
    <row r="56" spans="1:7" x14ac:dyDescent="0.45">
      <c r="A56" t="s">
        <v>54</v>
      </c>
      <c r="B56">
        <v>455.10992399999998</v>
      </c>
      <c r="D56" t="s">
        <v>54</v>
      </c>
      <c r="E56">
        <v>464.73399999999998</v>
      </c>
      <c r="G56">
        <f t="shared" si="0"/>
        <v>9.6240760000000023</v>
      </c>
    </row>
    <row r="57" spans="1:7" x14ac:dyDescent="0.45">
      <c r="A57" t="s">
        <v>55</v>
      </c>
      <c r="B57">
        <v>487.15033</v>
      </c>
      <c r="D57" t="s">
        <v>55</v>
      </c>
      <c r="E57">
        <v>500.95100000000002</v>
      </c>
      <c r="G57">
        <f t="shared" si="0"/>
        <v>13.800670000000025</v>
      </c>
    </row>
    <row r="58" spans="1:7" x14ac:dyDescent="0.45">
      <c r="A58" t="s">
        <v>56</v>
      </c>
      <c r="B58">
        <v>582.65289299999995</v>
      </c>
      <c r="D58" t="s">
        <v>56</v>
      </c>
      <c r="E58">
        <v>596.61599999999999</v>
      </c>
      <c r="G58">
        <f t="shared" si="0"/>
        <v>13.963107000000036</v>
      </c>
    </row>
    <row r="59" spans="1:7" x14ac:dyDescent="0.45">
      <c r="A59" t="s">
        <v>57</v>
      </c>
      <c r="B59">
        <v>1024.217163</v>
      </c>
      <c r="D59" t="s">
        <v>57</v>
      </c>
      <c r="E59">
        <v>1063.365</v>
      </c>
      <c r="G59">
        <f t="shared" si="0"/>
        <v>39.147836999999981</v>
      </c>
    </row>
    <row r="60" spans="1:7" x14ac:dyDescent="0.45">
      <c r="A60" t="s">
        <v>58</v>
      </c>
      <c r="B60">
        <v>1393.8969729999999</v>
      </c>
      <c r="D60" t="s">
        <v>58</v>
      </c>
      <c r="E60">
        <v>1447.454</v>
      </c>
      <c r="G60">
        <f t="shared" si="0"/>
        <v>53.557027000000062</v>
      </c>
    </row>
    <row r="61" spans="1:7" x14ac:dyDescent="0.45">
      <c r="A61" t="s">
        <v>59</v>
      </c>
      <c r="B61">
        <v>537.09680200000003</v>
      </c>
      <c r="D61" t="s">
        <v>59</v>
      </c>
      <c r="E61">
        <v>555.06700000000001</v>
      </c>
      <c r="G61">
        <f t="shared" si="0"/>
        <v>17.970197999999982</v>
      </c>
    </row>
    <row r="62" spans="1:7" x14ac:dyDescent="0.45">
      <c r="A62" t="s">
        <v>60</v>
      </c>
      <c r="B62">
        <v>275.73083500000001</v>
      </c>
      <c r="D62" t="s">
        <v>60</v>
      </c>
      <c r="E62">
        <v>287.44</v>
      </c>
      <c r="G62">
        <f t="shared" si="0"/>
        <v>11.709164999999985</v>
      </c>
    </row>
    <row r="63" spans="1:7" x14ac:dyDescent="0.45">
      <c r="A63" t="s">
        <v>61</v>
      </c>
      <c r="B63">
        <v>686.22363299999995</v>
      </c>
      <c r="D63" t="s">
        <v>61</v>
      </c>
      <c r="E63">
        <v>704.346</v>
      </c>
      <c r="G63">
        <f t="shared" si="0"/>
        <v>18.122367000000054</v>
      </c>
    </row>
    <row r="64" spans="1:7" x14ac:dyDescent="0.45">
      <c r="A64" t="s">
        <v>62</v>
      </c>
      <c r="B64">
        <v>2074.6166990000002</v>
      </c>
      <c r="D64" t="s">
        <v>62</v>
      </c>
      <c r="E64">
        <v>2145.7240000000002</v>
      </c>
      <c r="G64">
        <f t="shared" si="0"/>
        <v>71.107301000000007</v>
      </c>
    </row>
    <row r="65" spans="1:8" x14ac:dyDescent="0.45">
      <c r="A65" t="s">
        <v>63</v>
      </c>
      <c r="B65">
        <v>5410.2456050000001</v>
      </c>
      <c r="D65" t="s">
        <v>63</v>
      </c>
      <c r="E65">
        <v>5530.4809999999998</v>
      </c>
      <c r="G65">
        <f t="shared" si="0"/>
        <v>120.2353949999997</v>
      </c>
    </row>
    <row r="66" spans="1:8" x14ac:dyDescent="0.45">
      <c r="A66" t="s">
        <v>64</v>
      </c>
      <c r="B66">
        <v>496.743469</v>
      </c>
      <c r="D66" t="s">
        <v>64</v>
      </c>
      <c r="E66">
        <v>505.49299999999999</v>
      </c>
      <c r="G66">
        <f t="shared" si="0"/>
        <v>8.7495309999999904</v>
      </c>
    </row>
    <row r="67" spans="1:8" x14ac:dyDescent="0.45">
      <c r="A67" t="s">
        <v>65</v>
      </c>
      <c r="B67">
        <v>1746.621216</v>
      </c>
      <c r="D67" t="s">
        <v>65</v>
      </c>
      <c r="E67">
        <v>1814.34</v>
      </c>
      <c r="G67">
        <f t="shared" si="0"/>
        <v>67.718783999999914</v>
      </c>
    </row>
    <row r="68" spans="1:8" x14ac:dyDescent="0.45">
      <c r="A68" t="s">
        <v>66</v>
      </c>
      <c r="B68">
        <v>431.187927</v>
      </c>
      <c r="D68" t="s">
        <v>66</v>
      </c>
      <c r="E68">
        <v>445.214</v>
      </c>
      <c r="G68">
        <f t="shared" ref="G68" si="1">E68-B68</f>
        <v>14.026072999999997</v>
      </c>
    </row>
    <row r="70" spans="1:8" x14ac:dyDescent="0.45">
      <c r="B70">
        <f>SUM(B3:B68)</f>
        <v>78888.085628999994</v>
      </c>
      <c r="E70">
        <f>SUM(E3:E68)</f>
        <v>81150.35000000002</v>
      </c>
      <c r="G70">
        <f>SUM(G3:G68)</f>
        <v>2262.2643709999993</v>
      </c>
      <c r="H70" s="1">
        <f>G70/B70</f>
        <v>2.8676882611135008E-2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CE2D6-43D5-407E-9C7F-4405C5AC1CDD}">
  <dimension ref="A1:H70"/>
  <sheetViews>
    <sheetView tabSelected="1" topLeftCell="A46" workbookViewId="0">
      <selection activeCell="C65" sqref="C65"/>
    </sheetView>
  </sheetViews>
  <sheetFormatPr defaultRowHeight="14.25" x14ac:dyDescent="0.45"/>
  <sheetData>
    <row r="1" spans="1:7" x14ac:dyDescent="0.45">
      <c r="B1" t="s">
        <v>67</v>
      </c>
      <c r="E1" t="s">
        <v>68</v>
      </c>
      <c r="G1" t="s">
        <v>69</v>
      </c>
    </row>
    <row r="2" spans="1:7" x14ac:dyDescent="0.45">
      <c r="A2" t="s">
        <v>0</v>
      </c>
      <c r="B2" t="s">
        <v>0</v>
      </c>
      <c r="D2" t="s">
        <v>0</v>
      </c>
      <c r="E2" t="s">
        <v>0</v>
      </c>
    </row>
    <row r="3" spans="1:7" x14ac:dyDescent="0.45">
      <c r="A3" t="s">
        <v>1</v>
      </c>
      <c r="B3">
        <v>73.606139999999996</v>
      </c>
      <c r="D3" t="s">
        <v>1</v>
      </c>
      <c r="E3">
        <v>74.111999999999995</v>
      </c>
      <c r="G3">
        <f>E3-B3</f>
        <v>0.50585999999999842</v>
      </c>
    </row>
    <row r="4" spans="1:7" x14ac:dyDescent="0.45">
      <c r="A4" t="s">
        <v>2</v>
      </c>
      <c r="B4">
        <v>216.17098999999999</v>
      </c>
      <c r="D4" t="s">
        <v>2</v>
      </c>
      <c r="E4">
        <v>221.09</v>
      </c>
      <c r="G4">
        <f t="shared" ref="G4:G67" si="0">E4-B4</f>
        <v>4.9190100000000143</v>
      </c>
    </row>
    <row r="5" spans="1:7" x14ac:dyDescent="0.45">
      <c r="A5" t="s">
        <v>3</v>
      </c>
      <c r="B5">
        <v>16.780628</v>
      </c>
      <c r="D5" t="s">
        <v>3</v>
      </c>
      <c r="E5">
        <v>16.716000000000001</v>
      </c>
      <c r="G5">
        <f t="shared" si="0"/>
        <v>-6.462799999999902E-2</v>
      </c>
    </row>
    <row r="6" spans="1:7" x14ac:dyDescent="0.45">
      <c r="A6" t="s">
        <v>4</v>
      </c>
      <c r="B6">
        <v>37.538207999999997</v>
      </c>
      <c r="D6" t="s">
        <v>4</v>
      </c>
      <c r="E6">
        <v>36.927</v>
      </c>
      <c r="G6">
        <f t="shared" si="0"/>
        <v>-0.61120799999999775</v>
      </c>
    </row>
    <row r="7" spans="1:7" x14ac:dyDescent="0.45">
      <c r="A7" t="s">
        <v>5</v>
      </c>
      <c r="B7">
        <v>33.298732999999999</v>
      </c>
      <c r="D7" t="s">
        <v>5</v>
      </c>
      <c r="E7">
        <v>33.880000000000003</v>
      </c>
      <c r="G7">
        <f t="shared" si="0"/>
        <v>0.58126700000000397</v>
      </c>
    </row>
    <row r="8" spans="1:7" x14ac:dyDescent="0.45">
      <c r="A8" t="s">
        <v>6</v>
      </c>
      <c r="B8">
        <v>367.55386399999998</v>
      </c>
      <c r="D8" t="s">
        <v>6</v>
      </c>
      <c r="E8">
        <v>368.48599999999999</v>
      </c>
      <c r="G8">
        <f t="shared" si="0"/>
        <v>0.93213600000001406</v>
      </c>
    </row>
    <row r="9" spans="1:7" x14ac:dyDescent="0.45">
      <c r="A9" t="s">
        <v>7</v>
      </c>
      <c r="B9">
        <v>134.316666</v>
      </c>
      <c r="D9" t="s">
        <v>7</v>
      </c>
      <c r="E9">
        <v>136.1</v>
      </c>
      <c r="G9">
        <f t="shared" si="0"/>
        <v>1.7833339999999964</v>
      </c>
    </row>
    <row r="10" spans="1:7" x14ac:dyDescent="0.45">
      <c r="A10" t="s">
        <v>8</v>
      </c>
      <c r="B10">
        <v>6888.3847660000001</v>
      </c>
      <c r="D10" t="s">
        <v>8</v>
      </c>
      <c r="E10">
        <v>6948.3050000000003</v>
      </c>
      <c r="G10">
        <f t="shared" si="0"/>
        <v>59.920234000000164</v>
      </c>
    </row>
    <row r="11" spans="1:7" x14ac:dyDescent="0.45">
      <c r="A11" t="s">
        <v>9</v>
      </c>
      <c r="B11">
        <v>48.782393999999996</v>
      </c>
      <c r="D11" t="s">
        <v>9</v>
      </c>
      <c r="E11">
        <v>49.161999999999999</v>
      </c>
      <c r="G11">
        <f t="shared" si="0"/>
        <v>0.37960600000000255</v>
      </c>
    </row>
    <row r="12" spans="1:7" x14ac:dyDescent="0.45">
      <c r="A12" t="s">
        <v>10</v>
      </c>
      <c r="B12">
        <v>332.12841800000001</v>
      </c>
      <c r="D12" t="s">
        <v>10</v>
      </c>
      <c r="E12">
        <v>334.77499999999998</v>
      </c>
      <c r="G12">
        <f t="shared" si="0"/>
        <v>2.6465819999999667</v>
      </c>
    </row>
    <row r="13" spans="1:7" x14ac:dyDescent="0.45">
      <c r="A13" t="s">
        <v>11</v>
      </c>
      <c r="B13">
        <v>150.32524100000001</v>
      </c>
      <c r="D13" t="s">
        <v>11</v>
      </c>
      <c r="E13">
        <v>148.857</v>
      </c>
      <c r="G13">
        <f t="shared" si="0"/>
        <v>-1.4682410000000061</v>
      </c>
    </row>
    <row r="14" spans="1:7" x14ac:dyDescent="0.45">
      <c r="A14" t="s">
        <v>12</v>
      </c>
      <c r="B14">
        <v>105.633011</v>
      </c>
      <c r="D14" t="s">
        <v>12</v>
      </c>
      <c r="E14">
        <v>107.58</v>
      </c>
      <c r="G14">
        <f t="shared" si="0"/>
        <v>1.9469890000000021</v>
      </c>
    </row>
    <row r="15" spans="1:7" x14ac:dyDescent="0.45">
      <c r="A15" t="s">
        <v>13</v>
      </c>
      <c r="B15">
        <v>66.800499000000002</v>
      </c>
      <c r="D15" t="s">
        <v>13</v>
      </c>
      <c r="E15">
        <v>69.204999999999998</v>
      </c>
      <c r="G15">
        <f t="shared" si="0"/>
        <v>2.4045009999999962</v>
      </c>
    </row>
    <row r="16" spans="1:7" x14ac:dyDescent="0.45">
      <c r="A16" t="s">
        <v>14</v>
      </c>
      <c r="B16">
        <v>286.19876099999999</v>
      </c>
      <c r="D16" t="s">
        <v>14</v>
      </c>
      <c r="E16">
        <v>285.59199999999998</v>
      </c>
      <c r="G16">
        <f t="shared" si="0"/>
        <v>-0.60676100000000588</v>
      </c>
    </row>
    <row r="17" spans="1:7" x14ac:dyDescent="0.45">
      <c r="A17" t="s">
        <v>15</v>
      </c>
      <c r="B17">
        <v>8.5061809999999998</v>
      </c>
      <c r="D17" t="s">
        <v>15</v>
      </c>
      <c r="E17">
        <v>8.4380000000000006</v>
      </c>
      <c r="G17">
        <f t="shared" si="0"/>
        <v>-6.8180999999999159E-2</v>
      </c>
    </row>
    <row r="18" spans="1:7" x14ac:dyDescent="0.45">
      <c r="A18" t="s">
        <v>16</v>
      </c>
      <c r="B18">
        <v>314.87341300000003</v>
      </c>
      <c r="D18" t="s">
        <v>16</v>
      </c>
      <c r="E18">
        <v>319.89</v>
      </c>
      <c r="G18">
        <f t="shared" si="0"/>
        <v>5.0165869999999586</v>
      </c>
    </row>
    <row r="19" spans="1:7" x14ac:dyDescent="0.45">
      <c r="A19" t="s">
        <v>17</v>
      </c>
      <c r="B19">
        <v>99.790893999999994</v>
      </c>
      <c r="D19" t="s">
        <v>17</v>
      </c>
      <c r="E19">
        <v>99.906000000000006</v>
      </c>
      <c r="G19">
        <f t="shared" si="0"/>
        <v>0.11510600000001148</v>
      </c>
    </row>
    <row r="20" spans="1:7" x14ac:dyDescent="0.45">
      <c r="A20" t="s">
        <v>18</v>
      </c>
      <c r="B20">
        <v>21.264935999999999</v>
      </c>
      <c r="D20" t="s">
        <v>18</v>
      </c>
      <c r="E20">
        <v>21.378</v>
      </c>
      <c r="G20">
        <f t="shared" si="0"/>
        <v>0.11306400000000139</v>
      </c>
    </row>
    <row r="21" spans="1:7" x14ac:dyDescent="0.45">
      <c r="A21" t="s">
        <v>19</v>
      </c>
      <c r="B21">
        <v>581.19647199999997</v>
      </c>
      <c r="D21" t="s">
        <v>19</v>
      </c>
      <c r="E21">
        <v>597.02499999999998</v>
      </c>
      <c r="G21">
        <f t="shared" si="0"/>
        <v>15.828528000000006</v>
      </c>
    </row>
    <row r="22" spans="1:7" x14ac:dyDescent="0.45">
      <c r="A22" t="s">
        <v>20</v>
      </c>
      <c r="B22">
        <v>260.36093099999999</v>
      </c>
      <c r="D22" t="s">
        <v>20</v>
      </c>
      <c r="E22">
        <v>262.45100000000002</v>
      </c>
      <c r="G22">
        <f t="shared" si="0"/>
        <v>2.0900690000000282</v>
      </c>
    </row>
    <row r="23" spans="1:7" x14ac:dyDescent="0.45">
      <c r="A23" t="s">
        <v>21</v>
      </c>
      <c r="B23">
        <v>335.22454800000003</v>
      </c>
      <c r="D23" t="s">
        <v>21</v>
      </c>
      <c r="E23">
        <v>329.22500000000002</v>
      </c>
      <c r="G23">
        <f t="shared" si="0"/>
        <v>-5.9995480000000043</v>
      </c>
    </row>
    <row r="24" spans="1:7" x14ac:dyDescent="0.45">
      <c r="A24" t="s">
        <v>22</v>
      </c>
      <c r="B24">
        <v>349.27752700000002</v>
      </c>
      <c r="D24" t="s">
        <v>22</v>
      </c>
      <c r="E24">
        <v>358.53199999999998</v>
      </c>
      <c r="G24">
        <f t="shared" si="0"/>
        <v>9.2544729999999618</v>
      </c>
    </row>
    <row r="25" spans="1:7" x14ac:dyDescent="0.45">
      <c r="A25" t="s">
        <v>23</v>
      </c>
      <c r="B25">
        <v>2.2529080000000001</v>
      </c>
      <c r="D25" t="s">
        <v>23</v>
      </c>
      <c r="E25">
        <v>2.2999999999999998</v>
      </c>
      <c r="G25">
        <f t="shared" si="0"/>
        <v>4.709199999999969E-2</v>
      </c>
    </row>
    <row r="26" spans="1:7" x14ac:dyDescent="0.45">
      <c r="A26" t="s">
        <v>24</v>
      </c>
      <c r="B26">
        <v>86.306861999999995</v>
      </c>
      <c r="D26" t="s">
        <v>24</v>
      </c>
      <c r="E26">
        <v>87.522000000000006</v>
      </c>
      <c r="G26">
        <f t="shared" si="0"/>
        <v>1.2151380000000103</v>
      </c>
    </row>
    <row r="27" spans="1:7" x14ac:dyDescent="0.45">
      <c r="A27" t="s">
        <v>25</v>
      </c>
      <c r="B27">
        <v>763.98382600000002</v>
      </c>
      <c r="D27" t="s">
        <v>25</v>
      </c>
      <c r="E27">
        <v>780.54499999999996</v>
      </c>
      <c r="G27">
        <f t="shared" si="0"/>
        <v>16.561173999999937</v>
      </c>
    </row>
    <row r="28" spans="1:7" x14ac:dyDescent="0.45">
      <c r="A28" t="s">
        <v>26</v>
      </c>
      <c r="B28">
        <v>438.51825000000002</v>
      </c>
      <c r="D28" t="s">
        <v>26</v>
      </c>
      <c r="E28">
        <v>446.75400000000002</v>
      </c>
      <c r="G28">
        <f t="shared" si="0"/>
        <v>8.2357499999999959</v>
      </c>
    </row>
    <row r="29" spans="1:7" x14ac:dyDescent="0.45">
      <c r="A29" t="s">
        <v>27</v>
      </c>
      <c r="B29">
        <v>95.529266000000007</v>
      </c>
      <c r="D29" t="s">
        <v>27</v>
      </c>
      <c r="E29">
        <v>94.826999999999998</v>
      </c>
      <c r="G29">
        <f t="shared" si="0"/>
        <v>-0.70226600000000872</v>
      </c>
    </row>
    <row r="30" spans="1:7" x14ac:dyDescent="0.45">
      <c r="A30" t="s">
        <v>28</v>
      </c>
      <c r="B30">
        <v>139.402649</v>
      </c>
      <c r="D30" t="s">
        <v>28</v>
      </c>
      <c r="E30">
        <v>139.78700000000001</v>
      </c>
      <c r="G30">
        <f t="shared" si="0"/>
        <v>0.38435100000000944</v>
      </c>
    </row>
    <row r="31" spans="1:7" x14ac:dyDescent="0.45">
      <c r="A31" t="s">
        <v>29</v>
      </c>
      <c r="B31">
        <v>128.70459</v>
      </c>
      <c r="D31" t="s">
        <v>29</v>
      </c>
      <c r="E31">
        <v>129.13900000000001</v>
      </c>
      <c r="G31">
        <f t="shared" si="0"/>
        <v>0.43441000000001395</v>
      </c>
    </row>
    <row r="32" spans="1:7" x14ac:dyDescent="0.45">
      <c r="A32" t="s">
        <v>30</v>
      </c>
      <c r="B32">
        <v>82.110077000000004</v>
      </c>
      <c r="D32" t="s">
        <v>30</v>
      </c>
      <c r="E32">
        <v>84.763999999999996</v>
      </c>
      <c r="G32">
        <f t="shared" si="0"/>
        <v>2.6539229999999918</v>
      </c>
    </row>
    <row r="33" spans="1:7" x14ac:dyDescent="0.45">
      <c r="A33" t="s">
        <v>31</v>
      </c>
      <c r="B33">
        <v>24.037945000000001</v>
      </c>
      <c r="D33" t="s">
        <v>31</v>
      </c>
      <c r="E33">
        <v>25.024999999999999</v>
      </c>
      <c r="G33">
        <f t="shared" si="0"/>
        <v>0.98705499999999802</v>
      </c>
    </row>
    <row r="34" spans="1:7" x14ac:dyDescent="0.45">
      <c r="A34" t="s">
        <v>32</v>
      </c>
      <c r="B34">
        <v>1252.5920410000001</v>
      </c>
      <c r="D34" t="s">
        <v>32</v>
      </c>
      <c r="E34">
        <v>1265.915</v>
      </c>
      <c r="G34">
        <f t="shared" si="0"/>
        <v>13.322958999999855</v>
      </c>
    </row>
    <row r="35" spans="1:7" x14ac:dyDescent="0.45">
      <c r="A35" t="s">
        <v>33</v>
      </c>
      <c r="B35">
        <v>263.63430799999998</v>
      </c>
      <c r="D35" t="s">
        <v>33</v>
      </c>
      <c r="E35">
        <v>264.08300000000003</v>
      </c>
      <c r="G35">
        <f t="shared" si="0"/>
        <v>0.44869200000005094</v>
      </c>
    </row>
    <row r="36" spans="1:7" x14ac:dyDescent="0.45">
      <c r="A36" t="s">
        <v>34</v>
      </c>
      <c r="B36">
        <v>176.627533</v>
      </c>
      <c r="D36" t="s">
        <v>34</v>
      </c>
      <c r="E36">
        <v>181.446</v>
      </c>
      <c r="G36">
        <f t="shared" si="0"/>
        <v>4.8184669999999983</v>
      </c>
    </row>
    <row r="37" spans="1:7" x14ac:dyDescent="0.45">
      <c r="A37" t="s">
        <v>35</v>
      </c>
      <c r="B37">
        <v>16.272466999999999</v>
      </c>
      <c r="D37" t="s">
        <v>35</v>
      </c>
      <c r="E37">
        <v>16.556999999999999</v>
      </c>
      <c r="G37">
        <f t="shared" si="0"/>
        <v>0.2845329999999997</v>
      </c>
    </row>
    <row r="38" spans="1:7" x14ac:dyDescent="0.45">
      <c r="A38" t="s">
        <v>36</v>
      </c>
      <c r="B38">
        <v>345.00500499999998</v>
      </c>
      <c r="D38" t="s">
        <v>36</v>
      </c>
      <c r="E38">
        <v>347.887</v>
      </c>
      <c r="G38">
        <f t="shared" si="0"/>
        <v>2.8819950000000176</v>
      </c>
    </row>
    <row r="39" spans="1:7" x14ac:dyDescent="0.45">
      <c r="A39" t="s">
        <v>37</v>
      </c>
      <c r="B39">
        <v>235.916473</v>
      </c>
      <c r="D39" t="s">
        <v>37</v>
      </c>
      <c r="E39">
        <v>238.89</v>
      </c>
      <c r="G39">
        <f t="shared" si="0"/>
        <v>2.97352699999999</v>
      </c>
    </row>
    <row r="40" spans="1:7" x14ac:dyDescent="0.45">
      <c r="A40" t="s">
        <v>38</v>
      </c>
      <c r="B40">
        <v>40.073906000000001</v>
      </c>
      <c r="D40" t="s">
        <v>38</v>
      </c>
      <c r="E40">
        <v>40.03</v>
      </c>
      <c r="G40">
        <f t="shared" si="0"/>
        <v>-4.3905999999999779E-2</v>
      </c>
    </row>
    <row r="41" spans="1:7" x14ac:dyDescent="0.45">
      <c r="A41" t="s">
        <v>39</v>
      </c>
      <c r="B41">
        <v>126.795135</v>
      </c>
      <c r="D41" t="s">
        <v>39</v>
      </c>
      <c r="E41">
        <v>128.119</v>
      </c>
      <c r="G41">
        <f t="shared" si="0"/>
        <v>1.3238649999999978</v>
      </c>
    </row>
    <row r="42" spans="1:7" x14ac:dyDescent="0.45">
      <c r="A42" t="s">
        <v>40</v>
      </c>
      <c r="B42">
        <v>320.66729700000002</v>
      </c>
      <c r="D42" t="s">
        <v>40</v>
      </c>
      <c r="E42">
        <v>322.94</v>
      </c>
      <c r="G42">
        <f t="shared" si="0"/>
        <v>2.2727029999999786</v>
      </c>
    </row>
    <row r="43" spans="1:7" x14ac:dyDescent="0.45">
      <c r="A43" t="s">
        <v>41</v>
      </c>
      <c r="B43">
        <v>240.03454600000001</v>
      </c>
      <c r="D43" t="s">
        <v>41</v>
      </c>
      <c r="E43">
        <v>245.81</v>
      </c>
      <c r="G43">
        <f t="shared" si="0"/>
        <v>5.7754539999999963</v>
      </c>
    </row>
    <row r="44" spans="1:7" x14ac:dyDescent="0.45">
      <c r="A44" t="s">
        <v>42</v>
      </c>
      <c r="B44">
        <v>271.82373000000001</v>
      </c>
      <c r="D44" t="s">
        <v>42</v>
      </c>
      <c r="E44">
        <v>270.012</v>
      </c>
      <c r="G44">
        <f t="shared" si="0"/>
        <v>-1.8117300000000114</v>
      </c>
    </row>
    <row r="45" spans="1:7" x14ac:dyDescent="0.45">
      <c r="A45" t="s">
        <v>43</v>
      </c>
      <c r="B45">
        <v>247.17657500000001</v>
      </c>
      <c r="D45" t="s">
        <v>43</v>
      </c>
      <c r="E45">
        <v>248.68100000000001</v>
      </c>
      <c r="G45">
        <f t="shared" si="0"/>
        <v>1.5044249999999977</v>
      </c>
    </row>
    <row r="46" spans="1:7" x14ac:dyDescent="0.45">
      <c r="A46" t="s">
        <v>44</v>
      </c>
      <c r="B46">
        <v>425.59527600000001</v>
      </c>
      <c r="D46" t="s">
        <v>44</v>
      </c>
      <c r="E46">
        <v>431.541</v>
      </c>
      <c r="G46">
        <f t="shared" si="0"/>
        <v>5.9457239999999842</v>
      </c>
    </row>
    <row r="47" spans="1:7" x14ac:dyDescent="0.45">
      <c r="A47" t="s">
        <v>45</v>
      </c>
      <c r="B47">
        <v>277.48837300000002</v>
      </c>
      <c r="D47" t="s">
        <v>45</v>
      </c>
      <c r="E47">
        <v>281.69400000000002</v>
      </c>
      <c r="G47">
        <f t="shared" si="0"/>
        <v>4.2056269999999927</v>
      </c>
    </row>
    <row r="48" spans="1:7" x14ac:dyDescent="0.45">
      <c r="A48" t="s">
        <v>46</v>
      </c>
      <c r="B48">
        <v>3.5028579999999998</v>
      </c>
      <c r="D48" t="s">
        <v>46</v>
      </c>
      <c r="E48">
        <v>3.4929999999999999</v>
      </c>
      <c r="G48">
        <f t="shared" si="0"/>
        <v>-9.8579999999999224E-3</v>
      </c>
    </row>
    <row r="49" spans="1:7" x14ac:dyDescent="0.45">
      <c r="A49" t="s">
        <v>47</v>
      </c>
      <c r="B49">
        <v>43.316916999999997</v>
      </c>
      <c r="D49" t="s">
        <v>47</v>
      </c>
      <c r="E49">
        <v>43.817999999999998</v>
      </c>
      <c r="G49">
        <f t="shared" si="0"/>
        <v>0.50108300000000128</v>
      </c>
    </row>
    <row r="50" spans="1:7" x14ac:dyDescent="0.45">
      <c r="A50" t="s">
        <v>48</v>
      </c>
      <c r="B50">
        <v>93.836303999999998</v>
      </c>
      <c r="D50" t="s">
        <v>48</v>
      </c>
      <c r="E50">
        <v>96.400999999999996</v>
      </c>
      <c r="G50">
        <f t="shared" si="0"/>
        <v>2.5646959999999979</v>
      </c>
    </row>
    <row r="51" spans="1:7" x14ac:dyDescent="0.45">
      <c r="A51" t="s">
        <v>49</v>
      </c>
      <c r="B51">
        <v>69.289246000000006</v>
      </c>
      <c r="D51" t="s">
        <v>49</v>
      </c>
      <c r="E51">
        <v>67.037999999999997</v>
      </c>
      <c r="G51">
        <f t="shared" si="0"/>
        <v>-2.251246000000009</v>
      </c>
    </row>
    <row r="52" spans="1:7" x14ac:dyDescent="0.45">
      <c r="A52" t="s">
        <v>50</v>
      </c>
      <c r="B52">
        <v>616.96850600000005</v>
      </c>
      <c r="D52" t="s">
        <v>50</v>
      </c>
      <c r="E52">
        <v>616.53599999999994</v>
      </c>
      <c r="G52">
        <f t="shared" si="0"/>
        <v>-0.43250600000010309</v>
      </c>
    </row>
    <row r="53" spans="1:7" x14ac:dyDescent="0.45">
      <c r="A53" t="s">
        <v>51</v>
      </c>
      <c r="B53">
        <v>131.07998699999999</v>
      </c>
      <c r="D53" t="s">
        <v>51</v>
      </c>
      <c r="E53">
        <v>132.39400000000001</v>
      </c>
      <c r="G53">
        <f t="shared" si="0"/>
        <v>1.314013000000017</v>
      </c>
    </row>
    <row r="54" spans="1:7" x14ac:dyDescent="0.45">
      <c r="A54" t="s">
        <v>52</v>
      </c>
      <c r="B54">
        <v>763.37390100000005</v>
      </c>
      <c r="D54" t="s">
        <v>52</v>
      </c>
      <c r="E54">
        <v>763.12800000000004</v>
      </c>
      <c r="G54">
        <f t="shared" si="0"/>
        <v>-0.24590100000000348</v>
      </c>
    </row>
    <row r="55" spans="1:7" x14ac:dyDescent="0.45">
      <c r="A55" t="s">
        <v>53</v>
      </c>
      <c r="B55">
        <v>103.388428</v>
      </c>
      <c r="D55" t="s">
        <v>53</v>
      </c>
      <c r="E55">
        <v>105.286</v>
      </c>
      <c r="G55">
        <f t="shared" si="0"/>
        <v>1.8975719999999967</v>
      </c>
    </row>
    <row r="56" spans="1:7" x14ac:dyDescent="0.45">
      <c r="A56" t="s">
        <v>54</v>
      </c>
      <c r="B56">
        <v>140.124908</v>
      </c>
      <c r="D56" t="s">
        <v>54</v>
      </c>
      <c r="E56">
        <v>140.51900000000001</v>
      </c>
      <c r="G56">
        <f t="shared" si="0"/>
        <v>0.39409200000000055</v>
      </c>
    </row>
    <row r="57" spans="1:7" x14ac:dyDescent="0.45">
      <c r="A57" t="s">
        <v>55</v>
      </c>
      <c r="B57">
        <v>101.802864</v>
      </c>
      <c r="D57" t="s">
        <v>55</v>
      </c>
      <c r="E57">
        <v>103.878</v>
      </c>
      <c r="G57">
        <f t="shared" si="0"/>
        <v>2.0751360000000005</v>
      </c>
    </row>
    <row r="58" spans="1:7" x14ac:dyDescent="0.45">
      <c r="A58" t="s">
        <v>56</v>
      </c>
      <c r="B58">
        <v>198.69572400000001</v>
      </c>
      <c r="D58" t="s">
        <v>56</v>
      </c>
      <c r="E58">
        <v>198.01300000000001</v>
      </c>
      <c r="G58">
        <f t="shared" si="0"/>
        <v>-0.68272400000000744</v>
      </c>
    </row>
    <row r="59" spans="1:7" x14ac:dyDescent="0.45">
      <c r="A59" t="s">
        <v>57</v>
      </c>
      <c r="B59">
        <v>391.32080100000002</v>
      </c>
      <c r="D59" t="s">
        <v>57</v>
      </c>
      <c r="E59">
        <v>392.04700000000003</v>
      </c>
      <c r="G59">
        <f t="shared" si="0"/>
        <v>0.72619900000000825</v>
      </c>
    </row>
    <row r="60" spans="1:7" x14ac:dyDescent="0.45">
      <c r="A60" t="s">
        <v>58</v>
      </c>
      <c r="B60">
        <v>503.38861100000003</v>
      </c>
      <c r="D60" t="s">
        <v>58</v>
      </c>
      <c r="E60">
        <v>513.36199999999997</v>
      </c>
      <c r="G60">
        <f t="shared" si="0"/>
        <v>9.9733889999999406</v>
      </c>
    </row>
    <row r="61" spans="1:7" x14ac:dyDescent="0.45">
      <c r="A61" t="s">
        <v>59</v>
      </c>
      <c r="B61">
        <v>206.74726899999999</v>
      </c>
      <c r="D61" t="s">
        <v>59</v>
      </c>
      <c r="E61">
        <v>209.92099999999999</v>
      </c>
      <c r="G61">
        <f t="shared" si="0"/>
        <v>3.1737310000000036</v>
      </c>
    </row>
    <row r="62" spans="1:7" x14ac:dyDescent="0.45">
      <c r="A62" t="s">
        <v>60</v>
      </c>
      <c r="B62">
        <v>62.042487999999999</v>
      </c>
      <c r="D62" t="s">
        <v>60</v>
      </c>
      <c r="E62">
        <v>63.173999999999999</v>
      </c>
      <c r="G62">
        <f t="shared" si="0"/>
        <v>1.1315120000000007</v>
      </c>
    </row>
    <row r="63" spans="1:7" x14ac:dyDescent="0.45">
      <c r="A63" t="s">
        <v>61</v>
      </c>
      <c r="B63">
        <v>351.49664300000001</v>
      </c>
      <c r="D63" t="s">
        <v>61</v>
      </c>
      <c r="E63">
        <v>355.524</v>
      </c>
      <c r="G63">
        <f t="shared" si="0"/>
        <v>4.027356999999995</v>
      </c>
    </row>
    <row r="64" spans="1:7" x14ac:dyDescent="0.45">
      <c r="A64" t="s">
        <v>62</v>
      </c>
      <c r="B64">
        <v>692.23303199999998</v>
      </c>
      <c r="D64" t="s">
        <v>62</v>
      </c>
      <c r="E64">
        <v>706.08100000000002</v>
      </c>
      <c r="G64">
        <f t="shared" si="0"/>
        <v>13.847968000000037</v>
      </c>
    </row>
    <row r="65" spans="1:8" x14ac:dyDescent="0.45">
      <c r="A65" t="s">
        <v>63</v>
      </c>
      <c r="B65">
        <v>1877.4160159999999</v>
      </c>
      <c r="D65" t="s">
        <v>63</v>
      </c>
      <c r="E65">
        <v>1893.7260000000001</v>
      </c>
      <c r="G65">
        <f t="shared" si="0"/>
        <v>16.309984000000213</v>
      </c>
    </row>
    <row r="66" spans="1:8" x14ac:dyDescent="0.45">
      <c r="A66" t="s">
        <v>64</v>
      </c>
      <c r="B66">
        <v>211.82044999999999</v>
      </c>
      <c r="D66" t="s">
        <v>64</v>
      </c>
      <c r="E66">
        <v>214.56200000000001</v>
      </c>
      <c r="G66">
        <f t="shared" si="0"/>
        <v>2.7415500000000179</v>
      </c>
    </row>
    <row r="67" spans="1:8" x14ac:dyDescent="0.45">
      <c r="A67" t="s">
        <v>65</v>
      </c>
      <c r="B67">
        <v>491.82656900000001</v>
      </c>
      <c r="D67" t="s">
        <v>65</v>
      </c>
      <c r="E67">
        <v>497.75700000000001</v>
      </c>
      <c r="G67">
        <f t="shared" si="0"/>
        <v>5.9304309999999987</v>
      </c>
    </row>
    <row r="68" spans="1:8" x14ac:dyDescent="0.45">
      <c r="A68" t="s">
        <v>66</v>
      </c>
      <c r="B68">
        <v>74.041031000000004</v>
      </c>
      <c r="D68" t="s">
        <v>66</v>
      </c>
      <c r="E68">
        <v>76.123999999999995</v>
      </c>
      <c r="G68">
        <f t="shared" ref="G68" si="1">E68-B68</f>
        <v>2.0829689999999914</v>
      </c>
    </row>
    <row r="70" spans="1:8" x14ac:dyDescent="0.45">
      <c r="B70">
        <f>SUM(B3:B68)</f>
        <v>23856.274812</v>
      </c>
      <c r="E70">
        <f>SUM(E3:E68)</f>
        <v>24094.682000000001</v>
      </c>
      <c r="G70">
        <f>SUM(G3:G68)</f>
        <v>238.40718800000002</v>
      </c>
      <c r="H70" s="1">
        <f>G70/B70</f>
        <v>9.9934792786708793E-3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Agropec</vt:lpstr>
      <vt:lpstr>Extrativa</vt:lpstr>
      <vt:lpstr>Industria</vt:lpstr>
      <vt:lpstr>Serviços</vt:lpstr>
      <vt:lpstr>Comercio</vt:lpstr>
      <vt:lpstr>Transport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Perobelli</dc:creator>
  <cp:lastModifiedBy>Victor Valerio</cp:lastModifiedBy>
  <dcterms:created xsi:type="dcterms:W3CDTF">2026-08-07T18:02:24Z</dcterms:created>
  <dcterms:modified xsi:type="dcterms:W3CDTF">2026-08-13T01:28:56Z</dcterms:modified>
</cp:coreProperties>
</file>